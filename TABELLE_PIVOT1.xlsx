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claudia_mininni_studio_unibo_it/Documents/Documents/CLAUDIA/DataAnalyst/seconda settimana/Dataset-20231130T115424Z-001/Dataset/"/>
    </mc:Choice>
  </mc:AlternateContent>
  <xr:revisionPtr revIDLastSave="0" documentId="14_{5BC22BED-5CB0-41FD-A319-21304BA233DE}" xr6:coauthVersionLast="47" xr6:coauthVersionMax="47" xr10:uidLastSave="{00000000-0000-0000-0000-000000000000}"/>
  <bookViews>
    <workbookView xWindow="-108" yWindow="-108" windowWidth="23256" windowHeight="13176" activeTab="2" xr2:uid="{2B7069F3-2449-4347-8362-C879562CC36D}"/>
  </bookViews>
  <sheets>
    <sheet name="Foglio1" sheetId="1" r:id="rId1"/>
    <sheet name="Foglio2" sheetId="2" r:id="rId2"/>
    <sheet name="Foglio3" sheetId="3" r:id="rId3"/>
  </sheets>
  <calcPr calcId="191029"/>
  <pivotCaches>
    <pivotCache cacheId="2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<sst xmlns="http://schemas.openxmlformats.org/spreadsheetml/2006/main" count="137" uniqueCount="26">
  <si>
    <t>n. fattura</t>
  </si>
  <si>
    <t>Country</t>
  </si>
  <si>
    <t>Anno</t>
  </si>
  <si>
    <t>Imponibile</t>
  </si>
  <si>
    <t>Venditore</t>
  </si>
  <si>
    <t>ITA</t>
  </si>
  <si>
    <t>FRA</t>
  </si>
  <si>
    <t>GER</t>
  </si>
  <si>
    <t>AUT</t>
  </si>
  <si>
    <t>BEL</t>
  </si>
  <si>
    <t>ESP</t>
  </si>
  <si>
    <t>Giovanni</t>
  </si>
  <si>
    <t>Marco</t>
  </si>
  <si>
    <t>Luca</t>
  </si>
  <si>
    <t>Etichette di riga</t>
  </si>
  <si>
    <t>Totale complessivo</t>
  </si>
  <si>
    <t>Etichette di colonna</t>
  </si>
  <si>
    <t>Somma di Imponibile</t>
  </si>
  <si>
    <t>Quanto ha incassato giovanni?</t>
  </si>
  <si>
    <t>Quanto è stato incassato in Italia?</t>
  </si>
  <si>
    <t>Quanto è stato incassato in Spagna nel 2016?</t>
  </si>
  <si>
    <t>Quale venditore ha fatturato di più?Dove?</t>
  </si>
  <si>
    <t>Quale è il Paese più redditizio?</t>
  </si>
  <si>
    <t>In quanti hanno fatturato meno di 1000 euro? Dove?</t>
  </si>
  <si>
    <t>Marco in Francia 8610 euro</t>
  </si>
  <si>
    <t>Francia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</si>
</sst>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2" fillId="2" borderId="0" xfId="0" applyNumberFormat="1" applyFont="1" applyFill="1"/>
  </cellXfs>
  <cellStyles count="1">
    <cellStyle name="Normale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" refreshedDate="45274.476737037039" createdVersion="8" refreshedVersion="8" minRefreshableVersion="3" recordCount="30" xr:uid="{B860B409-5A4F-4FBE-8284-A00B1DFF1AD4}">
  <cacheSource type="worksheet">
    <worksheetSource ref="A1:E31" sheet="Foglio1"/>
  </cacheSource>
  <cacheFields count="5">
    <cacheField name="n. fattura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Country" numFmtId="0">
      <sharedItems count="6">
        <s v="ITA"/>
        <s v="FRA"/>
        <s v="GER"/>
        <s v="AUT"/>
        <s v="BEL"/>
        <s v="ESP"/>
      </sharedItems>
    </cacheField>
    <cacheField name="Anno" numFmtId="0">
      <sharedItems containsSemiMixedTypes="0" containsString="0" containsNumber="1" containsInteger="1" minValue="2015" maxValue="2016" count="2">
        <n v="2015"/>
        <n v="2016"/>
      </sharedItems>
    </cacheField>
    <cacheField name="Imponibile" numFmtId="0">
      <sharedItems containsSemiMixedTypes="0" containsString="0" containsNumber="1" minValue="34.979999999999997" maxValue="5433" count="30">
        <n v="789"/>
        <n v="5433"/>
        <n v="675.98"/>
        <n v="4536.91"/>
        <n v="458.34"/>
        <n v="674.9"/>
        <n v="127.56"/>
        <n v="887.45"/>
        <n v="1981.2"/>
        <n v="1563.9"/>
        <n v="2349"/>
        <n v="78.55"/>
        <n v="349.78"/>
        <n v="320.02999999999997"/>
        <n v="984.76"/>
        <n v="560"/>
        <n v="453.78"/>
        <n v="1239.67"/>
        <n v="34.979999999999997"/>
        <n v="356.77"/>
        <n v="234.91"/>
        <n v="309.77999999999997"/>
        <n v="245.12"/>
        <n v="67.319999999999993"/>
        <n v="781.56"/>
        <n v="230"/>
        <n v="187.44"/>
        <n v="239.77"/>
        <n v="127.91"/>
        <n v="357.32"/>
      </sharedItems>
    </cacheField>
    <cacheField name="Venditore" numFmtId="0">
      <sharedItems count="3">
        <s v="Giovanni"/>
        <s v="Marco"/>
        <s v="Luca"/>
      </sharedItems>
    </cacheField>
  </cacheFields>
  <extLst>
    <ext xmlns:x14="http://schemas.microsoft.com/office/spreadsheetml/2009/9/main" uri="{725AE2AE-9491-48be-B2B4-4EB974FC3084}">
      <x14:pivotCacheDefinition pivotCacheId="10455010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x v="0"/>
    <x v="0"/>
    <x v="0"/>
  </r>
  <r>
    <x v="1"/>
    <x v="1"/>
    <x v="0"/>
    <x v="1"/>
    <x v="1"/>
  </r>
  <r>
    <x v="2"/>
    <x v="0"/>
    <x v="0"/>
    <x v="2"/>
    <x v="2"/>
  </r>
  <r>
    <x v="3"/>
    <x v="0"/>
    <x v="0"/>
    <x v="3"/>
    <x v="2"/>
  </r>
  <r>
    <x v="4"/>
    <x v="2"/>
    <x v="0"/>
    <x v="4"/>
    <x v="1"/>
  </r>
  <r>
    <x v="5"/>
    <x v="1"/>
    <x v="0"/>
    <x v="5"/>
    <x v="1"/>
  </r>
  <r>
    <x v="6"/>
    <x v="1"/>
    <x v="0"/>
    <x v="6"/>
    <x v="0"/>
  </r>
  <r>
    <x v="7"/>
    <x v="0"/>
    <x v="0"/>
    <x v="7"/>
    <x v="2"/>
  </r>
  <r>
    <x v="8"/>
    <x v="1"/>
    <x v="0"/>
    <x v="8"/>
    <x v="1"/>
  </r>
  <r>
    <x v="9"/>
    <x v="1"/>
    <x v="0"/>
    <x v="9"/>
    <x v="0"/>
  </r>
  <r>
    <x v="10"/>
    <x v="3"/>
    <x v="0"/>
    <x v="10"/>
    <x v="0"/>
  </r>
  <r>
    <x v="11"/>
    <x v="2"/>
    <x v="0"/>
    <x v="11"/>
    <x v="0"/>
  </r>
  <r>
    <x v="12"/>
    <x v="2"/>
    <x v="0"/>
    <x v="12"/>
    <x v="0"/>
  </r>
  <r>
    <x v="13"/>
    <x v="4"/>
    <x v="0"/>
    <x v="13"/>
    <x v="2"/>
  </r>
  <r>
    <x v="14"/>
    <x v="2"/>
    <x v="0"/>
    <x v="14"/>
    <x v="1"/>
  </r>
  <r>
    <x v="0"/>
    <x v="0"/>
    <x v="1"/>
    <x v="15"/>
    <x v="0"/>
  </r>
  <r>
    <x v="1"/>
    <x v="1"/>
    <x v="1"/>
    <x v="16"/>
    <x v="1"/>
  </r>
  <r>
    <x v="2"/>
    <x v="0"/>
    <x v="1"/>
    <x v="17"/>
    <x v="2"/>
  </r>
  <r>
    <x v="3"/>
    <x v="5"/>
    <x v="1"/>
    <x v="18"/>
    <x v="2"/>
  </r>
  <r>
    <x v="4"/>
    <x v="0"/>
    <x v="1"/>
    <x v="19"/>
    <x v="1"/>
  </r>
  <r>
    <x v="5"/>
    <x v="2"/>
    <x v="1"/>
    <x v="20"/>
    <x v="1"/>
  </r>
  <r>
    <x v="6"/>
    <x v="3"/>
    <x v="1"/>
    <x v="21"/>
    <x v="0"/>
  </r>
  <r>
    <x v="7"/>
    <x v="1"/>
    <x v="1"/>
    <x v="22"/>
    <x v="2"/>
  </r>
  <r>
    <x v="8"/>
    <x v="1"/>
    <x v="1"/>
    <x v="23"/>
    <x v="1"/>
  </r>
  <r>
    <x v="9"/>
    <x v="4"/>
    <x v="1"/>
    <x v="24"/>
    <x v="0"/>
  </r>
  <r>
    <x v="10"/>
    <x v="1"/>
    <x v="1"/>
    <x v="25"/>
    <x v="0"/>
  </r>
  <r>
    <x v="11"/>
    <x v="1"/>
    <x v="1"/>
    <x v="26"/>
    <x v="0"/>
  </r>
  <r>
    <x v="12"/>
    <x v="2"/>
    <x v="1"/>
    <x v="27"/>
    <x v="0"/>
  </r>
  <r>
    <x v="13"/>
    <x v="2"/>
    <x v="1"/>
    <x v="28"/>
    <x v="2"/>
  </r>
  <r>
    <x v="14"/>
    <x v="0"/>
    <x v="1"/>
    <x v="2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0746D-CE6E-4C09-960B-B77A153CBA01}" name="Tabella pivot1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axis="axisRow" showAll="0">
      <items count="7">
        <item x="3"/>
        <item x="4"/>
        <item x="5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 sumSubtotal="1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sum"/>
      </items>
    </pivotField>
    <pivotField showAll="0" maxSubtotal="1">
      <items count="4">
        <item x="0"/>
        <item x="2"/>
        <item x="1"/>
        <item t="max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Imponibile" fld="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6C9AE-FEC4-411B-8F5D-8C6FA8C367AC}" name="Tabella pivot19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E23:I31" firstHeaderRow="1" firstDataRow="2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axis="axisRow" showAll="0">
      <items count="7">
        <item x="3"/>
        <item x="4"/>
        <item x="5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 sumSubtotal="1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sum"/>
      </items>
    </pivotField>
    <pivotField axis="axisCol" showAll="0" maxSubtotal="1">
      <items count="4">
        <item x="0"/>
        <item x="2"/>
        <item x="1"/>
        <item t="max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omma di Imponibile" fld="3" baseField="4" baseItem="0"/>
  </dataField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  <reference field="4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BE885-1F7F-468D-B327-DA7B71450AA2}" name="Tabella pivot18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C34:D41" firstHeaderRow="1" firstDataRow="1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axis="axisRow" showAll="0">
      <items count="7">
        <item x="3"/>
        <item x="4"/>
        <item x="5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 sumSubtotal="1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sum"/>
      </items>
    </pivotField>
    <pivotField showAll="0" maxSubtotal="1">
      <items count="4">
        <item x="0"/>
        <item x="2"/>
        <item x="1"/>
        <item t="max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Imponibile" fld="3" baseField="4" baseItem="0"/>
  </dataFields>
  <formats count="1">
    <format dxfId="0">
      <pivotArea collapsedLevelsAreSubtotals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1B8E6-ADCF-45CE-93F3-99A1C7E6C8FA}" name="Tabella pivot8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D50:K55" firstHeaderRow="1" firstDataRow="2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axis="axisCol" showAll="0">
      <items count="7">
        <item x="3"/>
        <item x="4"/>
        <item x="5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 sumSubtotal="1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sum"/>
      </items>
    </pivotField>
    <pivotField axis="axisRow" showAll="0" maxSubtotal="1">
      <items count="4">
        <item x="0"/>
        <item x="2"/>
        <item x="1"/>
        <item t="max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ma di Imponibile" fld="3" baseField="4" baseItem="0"/>
  </dataFields>
  <conditionalFormats count="1"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6" selected="0">
              <x v="0"/>
              <x v="1"/>
              <x v="2"/>
              <x v="3"/>
              <x v="4"/>
              <x v="5"/>
            </reference>
            <reference field="4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18D48-F54E-4173-9842-5684339A1E54}" name="Tabella pivot6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E18:G21" firstHeaderRow="1" firstDataRow="2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axis="axisRow" showAll="0">
      <items count="7">
        <item h="1" x="3"/>
        <item h="1" x="4"/>
        <item x="5"/>
        <item h="1" x="1"/>
        <item h="1" x="2"/>
        <item h="1"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default"/>
      </items>
    </pivotField>
    <pivotField showAll="0">
      <items count="4">
        <item sd="0" x="0"/>
        <item x="2"/>
        <item x="1"/>
        <item t="default"/>
      </items>
    </pivotField>
  </pivotFields>
  <rowFields count="1">
    <field x="1"/>
  </rowFields>
  <rowItems count="2">
    <i>
      <x v="2"/>
    </i>
    <i t="grand">
      <x/>
    </i>
  </rowItems>
  <colFields count="1">
    <field x="2"/>
  </colFields>
  <colItems count="2">
    <i>
      <x v="1"/>
    </i>
    <i t="grand">
      <x/>
    </i>
  </colItems>
  <dataFields count="1">
    <dataField name="Somma di Imponibile" fld="3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36CB8-9100-46D6-9BE6-E19BAFBC29D3}" name="Tabella pivot5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E11:H14" firstHeaderRow="1" firstDataRow="2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axis="axisRow" showAll="0">
      <items count="7">
        <item h="1" x="3"/>
        <item h="1" x="4"/>
        <item h="1" x="5"/>
        <item h="1" x="1"/>
        <item h="1"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default"/>
      </items>
    </pivotField>
    <pivotField showAll="0">
      <items count="4">
        <item sd="0" x="0"/>
        <item x="2"/>
        <item x="1"/>
        <item t="default"/>
      </items>
    </pivotField>
  </pivotFields>
  <rowFields count="1">
    <field x="1"/>
  </rowFields>
  <rowItems count="2"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ma di Imponibile" fld="3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14D5-1652-47D7-9015-4B6A97EB2AF7}" name="Tabella pivot4" cacheId="2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E2:H5" firstHeaderRow="1" firstDataRow="2" firstDataCol="1"/>
  <pivotFields count="5">
    <pivotField showAll="0">
      <items count="16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showAll="0">
      <items count="7">
        <item x="3"/>
        <item x="4"/>
        <item x="5"/>
        <item x="1"/>
        <item x="2"/>
        <item x="0"/>
        <item t="default"/>
      </items>
    </pivotField>
    <pivotField axis="axisCol" showAll="0">
      <items count="3">
        <item x="0"/>
        <item x="1"/>
        <item t="default"/>
      </items>
    </pivotField>
    <pivotField dataField="1" showAll="0">
      <items count="31">
        <item x="18"/>
        <item x="23"/>
        <item x="11"/>
        <item x="6"/>
        <item x="28"/>
        <item x="26"/>
        <item x="25"/>
        <item x="20"/>
        <item x="27"/>
        <item x="22"/>
        <item x="21"/>
        <item x="13"/>
        <item x="12"/>
        <item x="19"/>
        <item x="29"/>
        <item x="16"/>
        <item x="4"/>
        <item x="15"/>
        <item x="5"/>
        <item x="2"/>
        <item x="24"/>
        <item x="0"/>
        <item x="7"/>
        <item x="14"/>
        <item x="17"/>
        <item x="9"/>
        <item x="8"/>
        <item x="10"/>
        <item x="3"/>
        <item x="1"/>
        <item t="default"/>
      </items>
    </pivotField>
    <pivotField axis="axisRow" showAll="0">
      <items count="4">
        <item sd="0" x="0"/>
        <item h="1" x="2"/>
        <item h="1" x="1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ma di Imponibile" fld="3" baseField="1" baseItem="0" numFmtId="2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4019-6DE6-4535-A44C-72117CA26052}">
  <dimension ref="A1:E31"/>
  <sheetViews>
    <sheetView workbookViewId="0">
      <selection activeCell="H16" sqref="H16"/>
    </sheetView>
  </sheetViews>
  <sheetFormatPr defaultRowHeight="14.4" x14ac:dyDescent="0.3"/>
  <cols>
    <col min="4" max="4" width="10.44140625" bestFit="1" customWidth="1"/>
    <col min="5" max="5" width="9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2015</v>
      </c>
      <c r="D2">
        <v>789</v>
      </c>
      <c r="E2" t="s">
        <v>11</v>
      </c>
    </row>
    <row r="3" spans="1:5" x14ac:dyDescent="0.3">
      <c r="A3">
        <v>2</v>
      </c>
      <c r="B3" t="s">
        <v>6</v>
      </c>
      <c r="C3">
        <v>2015</v>
      </c>
      <c r="D3">
        <v>5433</v>
      </c>
      <c r="E3" t="s">
        <v>12</v>
      </c>
    </row>
    <row r="4" spans="1:5" x14ac:dyDescent="0.3">
      <c r="A4">
        <v>3</v>
      </c>
      <c r="B4" t="s">
        <v>5</v>
      </c>
      <c r="C4">
        <v>2015</v>
      </c>
      <c r="D4">
        <v>675.98</v>
      </c>
      <c r="E4" t="s">
        <v>13</v>
      </c>
    </row>
    <row r="5" spans="1:5" x14ac:dyDescent="0.3">
      <c r="A5">
        <v>4</v>
      </c>
      <c r="B5" t="s">
        <v>5</v>
      </c>
      <c r="C5">
        <v>2015</v>
      </c>
      <c r="D5">
        <v>4536.91</v>
      </c>
      <c r="E5" t="s">
        <v>13</v>
      </c>
    </row>
    <row r="6" spans="1:5" x14ac:dyDescent="0.3">
      <c r="A6">
        <v>5</v>
      </c>
      <c r="B6" t="s">
        <v>7</v>
      </c>
      <c r="C6">
        <v>2015</v>
      </c>
      <c r="D6">
        <v>458.34</v>
      </c>
      <c r="E6" t="s">
        <v>12</v>
      </c>
    </row>
    <row r="7" spans="1:5" x14ac:dyDescent="0.3">
      <c r="A7">
        <v>6</v>
      </c>
      <c r="B7" t="s">
        <v>6</v>
      </c>
      <c r="C7">
        <v>2015</v>
      </c>
      <c r="D7">
        <v>674.9</v>
      </c>
      <c r="E7" t="s">
        <v>12</v>
      </c>
    </row>
    <row r="8" spans="1:5" x14ac:dyDescent="0.3">
      <c r="A8">
        <v>7</v>
      </c>
      <c r="B8" t="s">
        <v>6</v>
      </c>
      <c r="C8">
        <v>2015</v>
      </c>
      <c r="D8">
        <v>127.56</v>
      </c>
      <c r="E8" t="s">
        <v>11</v>
      </c>
    </row>
    <row r="9" spans="1:5" x14ac:dyDescent="0.3">
      <c r="A9">
        <v>8</v>
      </c>
      <c r="B9" t="s">
        <v>5</v>
      </c>
      <c r="C9">
        <v>2015</v>
      </c>
      <c r="D9">
        <v>887.45</v>
      </c>
      <c r="E9" t="s">
        <v>13</v>
      </c>
    </row>
    <row r="10" spans="1:5" x14ac:dyDescent="0.3">
      <c r="A10">
        <v>9</v>
      </c>
      <c r="B10" t="s">
        <v>6</v>
      </c>
      <c r="C10">
        <v>2015</v>
      </c>
      <c r="D10">
        <v>1981.2</v>
      </c>
      <c r="E10" t="s">
        <v>12</v>
      </c>
    </row>
    <row r="11" spans="1:5" x14ac:dyDescent="0.3">
      <c r="A11">
        <v>10</v>
      </c>
      <c r="B11" t="s">
        <v>6</v>
      </c>
      <c r="C11">
        <v>2015</v>
      </c>
      <c r="D11">
        <v>1563.9</v>
      </c>
      <c r="E11" t="s">
        <v>11</v>
      </c>
    </row>
    <row r="12" spans="1:5" x14ac:dyDescent="0.3">
      <c r="A12">
        <v>11</v>
      </c>
      <c r="B12" t="s">
        <v>8</v>
      </c>
      <c r="C12">
        <v>2015</v>
      </c>
      <c r="D12">
        <v>2349</v>
      </c>
      <c r="E12" t="s">
        <v>11</v>
      </c>
    </row>
    <row r="13" spans="1:5" x14ac:dyDescent="0.3">
      <c r="A13">
        <v>12</v>
      </c>
      <c r="B13" t="s">
        <v>7</v>
      </c>
      <c r="C13">
        <v>2015</v>
      </c>
      <c r="D13">
        <v>78.55</v>
      </c>
      <c r="E13" t="s">
        <v>11</v>
      </c>
    </row>
    <row r="14" spans="1:5" x14ac:dyDescent="0.3">
      <c r="A14">
        <v>13</v>
      </c>
      <c r="B14" t="s">
        <v>7</v>
      </c>
      <c r="C14">
        <v>2015</v>
      </c>
      <c r="D14">
        <v>349.78</v>
      </c>
      <c r="E14" t="s">
        <v>11</v>
      </c>
    </row>
    <row r="15" spans="1:5" x14ac:dyDescent="0.3">
      <c r="A15">
        <v>14</v>
      </c>
      <c r="B15" t="s">
        <v>9</v>
      </c>
      <c r="C15">
        <v>2015</v>
      </c>
      <c r="D15">
        <v>320.02999999999997</v>
      </c>
      <c r="E15" t="s">
        <v>13</v>
      </c>
    </row>
    <row r="16" spans="1:5" x14ac:dyDescent="0.3">
      <c r="A16">
        <v>15</v>
      </c>
      <c r="B16" t="s">
        <v>7</v>
      </c>
      <c r="C16">
        <v>2015</v>
      </c>
      <c r="D16">
        <v>984.76</v>
      </c>
      <c r="E16" t="s">
        <v>12</v>
      </c>
    </row>
    <row r="17" spans="1:5" x14ac:dyDescent="0.3">
      <c r="A17">
        <v>1</v>
      </c>
      <c r="B17" t="s">
        <v>5</v>
      </c>
      <c r="C17">
        <v>2016</v>
      </c>
      <c r="D17">
        <v>560</v>
      </c>
      <c r="E17" t="s">
        <v>11</v>
      </c>
    </row>
    <row r="18" spans="1:5" x14ac:dyDescent="0.3">
      <c r="A18">
        <v>2</v>
      </c>
      <c r="B18" t="s">
        <v>6</v>
      </c>
      <c r="C18">
        <v>2016</v>
      </c>
      <c r="D18">
        <v>453.78</v>
      </c>
      <c r="E18" t="s">
        <v>12</v>
      </c>
    </row>
    <row r="19" spans="1:5" x14ac:dyDescent="0.3">
      <c r="A19">
        <v>3</v>
      </c>
      <c r="B19" t="s">
        <v>5</v>
      </c>
      <c r="C19">
        <v>2016</v>
      </c>
      <c r="D19">
        <v>1239.67</v>
      </c>
      <c r="E19" t="s">
        <v>13</v>
      </c>
    </row>
    <row r="20" spans="1:5" x14ac:dyDescent="0.3">
      <c r="A20">
        <v>4</v>
      </c>
      <c r="B20" t="s">
        <v>10</v>
      </c>
      <c r="C20">
        <v>2016</v>
      </c>
      <c r="D20">
        <v>34.979999999999997</v>
      </c>
      <c r="E20" t="s">
        <v>13</v>
      </c>
    </row>
    <row r="21" spans="1:5" x14ac:dyDescent="0.3">
      <c r="A21">
        <v>5</v>
      </c>
      <c r="B21" t="s">
        <v>5</v>
      </c>
      <c r="C21">
        <v>2016</v>
      </c>
      <c r="D21">
        <v>356.77</v>
      </c>
      <c r="E21" t="s">
        <v>12</v>
      </c>
    </row>
    <row r="22" spans="1:5" x14ac:dyDescent="0.3">
      <c r="A22">
        <v>6</v>
      </c>
      <c r="B22" t="s">
        <v>7</v>
      </c>
      <c r="C22">
        <v>2016</v>
      </c>
      <c r="D22">
        <v>234.91</v>
      </c>
      <c r="E22" t="s">
        <v>12</v>
      </c>
    </row>
    <row r="23" spans="1:5" x14ac:dyDescent="0.3">
      <c r="A23">
        <v>7</v>
      </c>
      <c r="B23" t="s">
        <v>8</v>
      </c>
      <c r="C23">
        <v>2016</v>
      </c>
      <c r="D23">
        <v>309.77999999999997</v>
      </c>
      <c r="E23" t="s">
        <v>11</v>
      </c>
    </row>
    <row r="24" spans="1:5" x14ac:dyDescent="0.3">
      <c r="A24">
        <v>8</v>
      </c>
      <c r="B24" t="s">
        <v>6</v>
      </c>
      <c r="C24">
        <v>2016</v>
      </c>
      <c r="D24">
        <v>245.12</v>
      </c>
      <c r="E24" t="s">
        <v>13</v>
      </c>
    </row>
    <row r="25" spans="1:5" x14ac:dyDescent="0.3">
      <c r="A25">
        <v>9</v>
      </c>
      <c r="B25" t="s">
        <v>6</v>
      </c>
      <c r="C25">
        <v>2016</v>
      </c>
      <c r="D25">
        <v>67.319999999999993</v>
      </c>
      <c r="E25" t="s">
        <v>12</v>
      </c>
    </row>
    <row r="26" spans="1:5" x14ac:dyDescent="0.3">
      <c r="A26">
        <v>10</v>
      </c>
      <c r="B26" t="s">
        <v>9</v>
      </c>
      <c r="C26">
        <v>2016</v>
      </c>
      <c r="D26">
        <v>781.56</v>
      </c>
      <c r="E26" t="s">
        <v>11</v>
      </c>
    </row>
    <row r="27" spans="1:5" x14ac:dyDescent="0.3">
      <c r="A27">
        <v>11</v>
      </c>
      <c r="B27" t="s">
        <v>6</v>
      </c>
      <c r="C27">
        <v>2016</v>
      </c>
      <c r="D27">
        <v>230</v>
      </c>
      <c r="E27" t="s">
        <v>11</v>
      </c>
    </row>
    <row r="28" spans="1:5" x14ac:dyDescent="0.3">
      <c r="A28">
        <v>12</v>
      </c>
      <c r="B28" t="s">
        <v>6</v>
      </c>
      <c r="C28">
        <v>2016</v>
      </c>
      <c r="D28">
        <v>187.44</v>
      </c>
      <c r="E28" t="s">
        <v>11</v>
      </c>
    </row>
    <row r="29" spans="1:5" x14ac:dyDescent="0.3">
      <c r="A29">
        <v>13</v>
      </c>
      <c r="B29" t="s">
        <v>7</v>
      </c>
      <c r="C29">
        <v>2016</v>
      </c>
      <c r="D29">
        <v>239.77</v>
      </c>
      <c r="E29" t="s">
        <v>11</v>
      </c>
    </row>
    <row r="30" spans="1:5" x14ac:dyDescent="0.3">
      <c r="A30">
        <v>14</v>
      </c>
      <c r="B30" t="s">
        <v>7</v>
      </c>
      <c r="C30">
        <v>2016</v>
      </c>
      <c r="D30">
        <v>127.91</v>
      </c>
      <c r="E30" t="s">
        <v>13</v>
      </c>
    </row>
    <row r="31" spans="1:5" x14ac:dyDescent="0.3">
      <c r="A31">
        <v>15</v>
      </c>
      <c r="B31" t="s">
        <v>5</v>
      </c>
      <c r="C31">
        <v>2016</v>
      </c>
      <c r="D31">
        <v>357.32</v>
      </c>
      <c r="E3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CEC2-39E5-45BF-8278-5EC6DCC986CC}">
  <dimension ref="A3:B10"/>
  <sheetViews>
    <sheetView workbookViewId="0">
      <selection activeCell="B7" sqref="B7"/>
    </sheetView>
  </sheetViews>
  <sheetFormatPr defaultRowHeight="14.4" x14ac:dyDescent="0.3"/>
  <cols>
    <col min="1" max="1" width="17.21875" bestFit="1" customWidth="1"/>
    <col min="2" max="2" width="19.109375" bestFit="1" customWidth="1"/>
    <col min="3" max="4" width="8" bestFit="1" customWidth="1"/>
    <col min="5" max="5" width="17.21875" bestFit="1" customWidth="1"/>
    <col min="6" max="7" width="8" bestFit="1" customWidth="1"/>
    <col min="8" max="8" width="17.21875" bestFit="1" customWidth="1"/>
    <col min="9" max="9" width="7" bestFit="1" customWidth="1"/>
    <col min="10" max="10" width="12.109375" bestFit="1" customWidth="1"/>
    <col min="11" max="11" width="17.21875" bestFit="1" customWidth="1"/>
  </cols>
  <sheetData>
    <row r="3" spans="1:2" x14ac:dyDescent="0.3">
      <c r="A3" s="2" t="s">
        <v>14</v>
      </c>
      <c r="B3" t="s">
        <v>17</v>
      </c>
    </row>
    <row r="4" spans="1:2" x14ac:dyDescent="0.3">
      <c r="A4" s="3" t="s">
        <v>8</v>
      </c>
      <c r="B4" s="5">
        <v>2658.7799999999997</v>
      </c>
    </row>
    <row r="5" spans="1:2" x14ac:dyDescent="0.3">
      <c r="A5" s="3" t="s">
        <v>9</v>
      </c>
      <c r="B5" s="5">
        <v>1101.5899999999999</v>
      </c>
    </row>
    <row r="6" spans="1:2" x14ac:dyDescent="0.3">
      <c r="A6" s="3" t="s">
        <v>10</v>
      </c>
      <c r="B6" s="5">
        <v>34.979999999999997</v>
      </c>
    </row>
    <row r="7" spans="1:2" x14ac:dyDescent="0.3">
      <c r="A7" s="3" t="s">
        <v>6</v>
      </c>
      <c r="B7" s="5">
        <v>10964.220000000001</v>
      </c>
    </row>
    <row r="8" spans="1:2" x14ac:dyDescent="0.3">
      <c r="A8" s="3" t="s">
        <v>7</v>
      </c>
      <c r="B8" s="5">
        <v>2474.0199999999995</v>
      </c>
    </row>
    <row r="9" spans="1:2" x14ac:dyDescent="0.3">
      <c r="A9" s="3" t="s">
        <v>5</v>
      </c>
      <c r="B9" s="5">
        <v>9403.0999999999985</v>
      </c>
    </row>
    <row r="10" spans="1:2" x14ac:dyDescent="0.3">
      <c r="A10" s="3" t="s">
        <v>15</v>
      </c>
      <c r="B10" s="5">
        <v>26636.69</v>
      </c>
    </row>
  </sheetData>
  <conditionalFormatting sqref="B3">
    <cfRule type="cellIs" dxfId="15" priority="4" operator="lessThan">
      <formula>1000</formula>
    </cfRule>
  </conditionalFormatting>
  <conditionalFormatting sqref="A3:B3 A4:A8">
    <cfRule type="cellIs" dxfId="13" priority="2" operator="lessThan">
      <formula>1000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0CE4-611E-4D67-9AE6-10F583AA5CAD}">
  <dimension ref="A1:K55"/>
  <sheetViews>
    <sheetView tabSelected="1" workbookViewId="0">
      <selection activeCell="J39" sqref="J39"/>
    </sheetView>
  </sheetViews>
  <sheetFormatPr defaultRowHeight="14.4" x14ac:dyDescent="0.3"/>
  <cols>
    <col min="5" max="5" width="19.109375" bestFit="1" customWidth="1"/>
    <col min="7" max="8" width="17.21875" bestFit="1" customWidth="1"/>
  </cols>
  <sheetData>
    <row r="1" spans="1:8" x14ac:dyDescent="0.3">
      <c r="A1" t="s">
        <v>18</v>
      </c>
    </row>
    <row r="2" spans="1:8" x14ac:dyDescent="0.3">
      <c r="E2" s="2" t="s">
        <v>17</v>
      </c>
      <c r="F2" s="2" t="s">
        <v>16</v>
      </c>
    </row>
    <row r="3" spans="1:8" x14ac:dyDescent="0.3">
      <c r="E3" s="2" t="s">
        <v>14</v>
      </c>
      <c r="F3">
        <v>2015</v>
      </c>
      <c r="G3">
        <v>2016</v>
      </c>
      <c r="H3" t="s">
        <v>15</v>
      </c>
    </row>
    <row r="4" spans="1:8" x14ac:dyDescent="0.3">
      <c r="E4" s="3" t="s">
        <v>11</v>
      </c>
      <c r="F4" s="4">
        <v>5257.79</v>
      </c>
      <c r="G4" s="4">
        <v>2308.5500000000002</v>
      </c>
      <c r="H4" s="4">
        <v>7566.34</v>
      </c>
    </row>
    <row r="5" spans="1:8" x14ac:dyDescent="0.3">
      <c r="E5" s="3" t="s">
        <v>15</v>
      </c>
      <c r="F5" s="4">
        <v>5257.79</v>
      </c>
      <c r="G5" s="4">
        <v>2308.5500000000002</v>
      </c>
      <c r="H5" s="4">
        <v>7566.34</v>
      </c>
    </row>
    <row r="9" spans="1:8" x14ac:dyDescent="0.3">
      <c r="A9" t="s">
        <v>19</v>
      </c>
    </row>
    <row r="11" spans="1:8" x14ac:dyDescent="0.3">
      <c r="E11" s="2" t="s">
        <v>17</v>
      </c>
      <c r="F11" s="2" t="s">
        <v>16</v>
      </c>
    </row>
    <row r="12" spans="1:8" x14ac:dyDescent="0.3">
      <c r="E12" s="2" t="s">
        <v>14</v>
      </c>
      <c r="F12">
        <v>2015</v>
      </c>
      <c r="G12">
        <v>2016</v>
      </c>
      <c r="H12" t="s">
        <v>15</v>
      </c>
    </row>
    <row r="13" spans="1:8" x14ac:dyDescent="0.3">
      <c r="E13" s="3" t="s">
        <v>5</v>
      </c>
      <c r="F13" s="4">
        <v>6889.3399999999992</v>
      </c>
      <c r="G13" s="4">
        <v>2513.7600000000002</v>
      </c>
      <c r="H13" s="4">
        <v>9403.0999999999985</v>
      </c>
    </row>
    <row r="14" spans="1:8" x14ac:dyDescent="0.3">
      <c r="E14" s="3" t="s">
        <v>15</v>
      </c>
      <c r="F14" s="4">
        <v>6889.3399999999992</v>
      </c>
      <c r="G14" s="4">
        <v>2513.7600000000002</v>
      </c>
      <c r="H14" s="4">
        <v>9403.0999999999985</v>
      </c>
    </row>
    <row r="17" spans="1:9" x14ac:dyDescent="0.3">
      <c r="A17" t="s">
        <v>20</v>
      </c>
    </row>
    <row r="18" spans="1:9" x14ac:dyDescent="0.3">
      <c r="E18" s="2" t="s">
        <v>17</v>
      </c>
      <c r="F18" s="2" t="s">
        <v>16</v>
      </c>
    </row>
    <row r="19" spans="1:9" x14ac:dyDescent="0.3">
      <c r="E19" s="2" t="s">
        <v>14</v>
      </c>
      <c r="F19">
        <v>2016</v>
      </c>
      <c r="G19" t="s">
        <v>15</v>
      </c>
    </row>
    <row r="20" spans="1:9" x14ac:dyDescent="0.3">
      <c r="E20" s="3" t="s">
        <v>10</v>
      </c>
      <c r="F20" s="4">
        <v>34.979999999999997</v>
      </c>
      <c r="G20" s="4">
        <v>34.979999999999997</v>
      </c>
    </row>
    <row r="21" spans="1:9" x14ac:dyDescent="0.3">
      <c r="E21" s="3" t="s">
        <v>15</v>
      </c>
      <c r="F21" s="4">
        <v>34.979999999999997</v>
      </c>
      <c r="G21" s="4">
        <v>34.979999999999997</v>
      </c>
    </row>
    <row r="22" spans="1:9" x14ac:dyDescent="0.3">
      <c r="A22" t="s">
        <v>21</v>
      </c>
    </row>
    <row r="23" spans="1:9" x14ac:dyDescent="0.3">
      <c r="E23" s="2" t="s">
        <v>17</v>
      </c>
      <c r="F23" s="2" t="s">
        <v>16</v>
      </c>
    </row>
    <row r="24" spans="1:9" x14ac:dyDescent="0.3">
      <c r="B24" t="s">
        <v>24</v>
      </c>
      <c r="E24" s="2" t="s">
        <v>14</v>
      </c>
      <c r="F24" t="s">
        <v>11</v>
      </c>
      <c r="G24" t="s">
        <v>13</v>
      </c>
      <c r="H24" t="s">
        <v>12</v>
      </c>
      <c r="I24" t="s">
        <v>15</v>
      </c>
    </row>
    <row r="25" spans="1:9" x14ac:dyDescent="0.3">
      <c r="E25" s="3" t="s">
        <v>8</v>
      </c>
      <c r="F25" s="5">
        <v>2658.7799999999997</v>
      </c>
      <c r="G25" s="5"/>
      <c r="H25" s="5"/>
      <c r="I25" s="5">
        <v>2658.7799999999997</v>
      </c>
    </row>
    <row r="26" spans="1:9" x14ac:dyDescent="0.3">
      <c r="E26" s="3" t="s">
        <v>9</v>
      </c>
      <c r="F26" s="5">
        <v>781.56</v>
      </c>
      <c r="G26" s="5">
        <v>320.02999999999997</v>
      </c>
      <c r="H26" s="5"/>
      <c r="I26" s="5">
        <v>1101.5899999999999</v>
      </c>
    </row>
    <row r="27" spans="1:9" x14ac:dyDescent="0.3">
      <c r="E27" s="3" t="s">
        <v>10</v>
      </c>
      <c r="F27" s="5"/>
      <c r="G27" s="5">
        <v>34.979999999999997</v>
      </c>
      <c r="H27" s="5"/>
      <c r="I27" s="5">
        <v>34.979999999999997</v>
      </c>
    </row>
    <row r="28" spans="1:9" x14ac:dyDescent="0.3">
      <c r="E28" s="3" t="s">
        <v>6</v>
      </c>
      <c r="F28" s="5">
        <v>2108.9</v>
      </c>
      <c r="G28" s="5">
        <v>245.12</v>
      </c>
      <c r="H28" s="5">
        <v>8610.1999999999989</v>
      </c>
      <c r="I28" s="5">
        <v>10964.220000000001</v>
      </c>
    </row>
    <row r="29" spans="1:9" x14ac:dyDescent="0.3">
      <c r="E29" s="3" t="s">
        <v>7</v>
      </c>
      <c r="F29" s="5">
        <v>668.1</v>
      </c>
      <c r="G29" s="5">
        <v>127.91</v>
      </c>
      <c r="H29" s="5">
        <v>1678.01</v>
      </c>
      <c r="I29" s="5">
        <v>2474.0199999999995</v>
      </c>
    </row>
    <row r="30" spans="1:9" x14ac:dyDescent="0.3">
      <c r="E30" s="3" t="s">
        <v>5</v>
      </c>
      <c r="F30" s="5">
        <v>1349</v>
      </c>
      <c r="G30" s="5">
        <v>7340.0099999999993</v>
      </c>
      <c r="H30" s="5">
        <v>714.08999999999992</v>
      </c>
      <c r="I30" s="5">
        <v>9403.0999999999985</v>
      </c>
    </row>
    <row r="31" spans="1:9" x14ac:dyDescent="0.3">
      <c r="E31" s="3" t="s">
        <v>15</v>
      </c>
      <c r="F31" s="5">
        <v>7566.3399999999992</v>
      </c>
      <c r="G31" s="5">
        <v>8068.05</v>
      </c>
      <c r="H31" s="5">
        <v>11002.3</v>
      </c>
      <c r="I31" s="5">
        <v>26636.69</v>
      </c>
    </row>
    <row r="32" spans="1:9" x14ac:dyDescent="0.3">
      <c r="A32" t="s">
        <v>22</v>
      </c>
      <c r="D32" t="s">
        <v>25</v>
      </c>
    </row>
    <row r="34" spans="1:4" x14ac:dyDescent="0.3">
      <c r="C34" s="2" t="s">
        <v>14</v>
      </c>
      <c r="D34" t="s">
        <v>17</v>
      </c>
    </row>
    <row r="35" spans="1:4" x14ac:dyDescent="0.3">
      <c r="C35" s="3" t="s">
        <v>8</v>
      </c>
      <c r="D35" s="5">
        <v>2658.7799999999997</v>
      </c>
    </row>
    <row r="36" spans="1:4" x14ac:dyDescent="0.3">
      <c r="C36" s="3" t="s">
        <v>9</v>
      </c>
      <c r="D36" s="5">
        <v>1101.5899999999999</v>
      </c>
    </row>
    <row r="37" spans="1:4" x14ac:dyDescent="0.3">
      <c r="C37" s="3" t="s">
        <v>10</v>
      </c>
      <c r="D37" s="5">
        <v>34.979999999999997</v>
      </c>
    </row>
    <row r="38" spans="1:4" x14ac:dyDescent="0.3">
      <c r="C38" s="3" t="s">
        <v>6</v>
      </c>
      <c r="D38" s="6">
        <v>10964.220000000001</v>
      </c>
    </row>
    <row r="39" spans="1:4" x14ac:dyDescent="0.3">
      <c r="C39" s="3" t="s">
        <v>7</v>
      </c>
      <c r="D39" s="5">
        <v>2474.0199999999995</v>
      </c>
    </row>
    <row r="40" spans="1:4" x14ac:dyDescent="0.3">
      <c r="C40" s="3" t="s">
        <v>5</v>
      </c>
      <c r="D40" s="5">
        <v>9403.0999999999985</v>
      </c>
    </row>
    <row r="41" spans="1:4" x14ac:dyDescent="0.3">
      <c r="C41" s="3" t="s">
        <v>15</v>
      </c>
      <c r="D41" s="5">
        <v>26636.69</v>
      </c>
    </row>
    <row r="48" spans="1:4" x14ac:dyDescent="0.3">
      <c r="A48" t="s">
        <v>23</v>
      </c>
    </row>
    <row r="50" spans="4:11" x14ac:dyDescent="0.3">
      <c r="D50" s="2" t="s">
        <v>17</v>
      </c>
      <c r="E50" s="2" t="s">
        <v>16</v>
      </c>
    </row>
    <row r="51" spans="4:11" x14ac:dyDescent="0.3">
      <c r="D51" s="2" t="s">
        <v>14</v>
      </c>
      <c r="E51" t="s">
        <v>8</v>
      </c>
      <c r="F51" t="s">
        <v>9</v>
      </c>
      <c r="G51" t="s">
        <v>10</v>
      </c>
      <c r="H51" t="s">
        <v>6</v>
      </c>
      <c r="I51" t="s">
        <v>7</v>
      </c>
      <c r="J51" t="s">
        <v>5</v>
      </c>
      <c r="K51" t="s">
        <v>15</v>
      </c>
    </row>
    <row r="52" spans="4:11" x14ac:dyDescent="0.3">
      <c r="D52" s="3" t="s">
        <v>11</v>
      </c>
      <c r="E52">
        <v>2658.7799999999997</v>
      </c>
      <c r="F52">
        <v>781.56</v>
      </c>
      <c r="H52">
        <v>2108.9</v>
      </c>
      <c r="I52">
        <v>668.1</v>
      </c>
      <c r="J52">
        <v>1349</v>
      </c>
      <c r="K52">
        <v>7566.3399999999992</v>
      </c>
    </row>
    <row r="53" spans="4:11" x14ac:dyDescent="0.3">
      <c r="D53" s="3" t="s">
        <v>13</v>
      </c>
      <c r="F53">
        <v>320.02999999999997</v>
      </c>
      <c r="G53">
        <v>34.979999999999997</v>
      </c>
      <c r="H53">
        <v>245.12</v>
      </c>
      <c r="I53">
        <v>127.91</v>
      </c>
      <c r="J53">
        <v>7340.0099999999993</v>
      </c>
      <c r="K53">
        <v>8068.05</v>
      </c>
    </row>
    <row r="54" spans="4:11" x14ac:dyDescent="0.3">
      <c r="D54" s="3" t="s">
        <v>12</v>
      </c>
      <c r="H54">
        <v>8610.1999999999989</v>
      </c>
      <c r="I54">
        <v>1678.01</v>
      </c>
      <c r="J54">
        <v>714.08999999999992</v>
      </c>
      <c r="K54">
        <v>11002.3</v>
      </c>
    </row>
    <row r="55" spans="4:11" x14ac:dyDescent="0.3">
      <c r="D55" s="3" t="s">
        <v>15</v>
      </c>
      <c r="E55">
        <v>2658.7799999999997</v>
      </c>
      <c r="F55">
        <v>1101.5899999999999</v>
      </c>
      <c r="G55">
        <v>34.979999999999997</v>
      </c>
      <c r="H55">
        <v>10964.220000000001</v>
      </c>
      <c r="I55">
        <v>2474.0199999999995</v>
      </c>
      <c r="J55">
        <v>9403.0999999999985</v>
      </c>
      <c r="K55">
        <v>26636.69</v>
      </c>
    </row>
  </sheetData>
  <conditionalFormatting sqref="E34:E39">
    <cfRule type="top10" dxfId="9" priority="9" rank="1"/>
  </conditionalFormatting>
  <conditionalFormatting sqref="E50">
    <cfRule type="cellIs" dxfId="8" priority="8" operator="lessThan">
      <formula>1000</formula>
    </cfRule>
  </conditionalFormatting>
  <conditionalFormatting pivot="1" sqref="E52:J54">
    <cfRule type="top10" dxfId="7" priority="7" rank="1"/>
  </conditionalFormatting>
  <conditionalFormatting sqref="D51:K54 D50:E50 D55:F55 H55:K55">
    <cfRule type="cellIs" dxfId="6" priority="6" operator="lessThan">
      <formula>1000</formula>
    </cfRule>
  </conditionalFormatting>
  <conditionalFormatting sqref="D34">
    <cfRule type="cellIs" dxfId="5" priority="5" operator="lessThan">
      <formula>1000</formula>
    </cfRule>
  </conditionalFormatting>
  <conditionalFormatting sqref="C34:D34 C35:C39">
    <cfRule type="cellIs" dxfId="4" priority="4" operator="lessThan">
      <formula>1000</formula>
    </cfRule>
  </conditionalFormatting>
  <conditionalFormatting sqref="F23">
    <cfRule type="cellIs" dxfId="3" priority="3" operator="lessThan">
      <formula>1000</formula>
    </cfRule>
  </conditionalFormatting>
  <conditionalFormatting sqref="E23:F23 E24:E28">
    <cfRule type="cellIs" dxfId="2" priority="2" operator="lessThan">
      <formula>1000</formula>
    </cfRule>
  </conditionalFormatting>
  <conditionalFormatting pivot="1" sqref="F25:H30">
    <cfRule type="top10" dxfId="1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giacomoscettri</dc:creator>
  <cp:lastModifiedBy>Claudia Mininni - claudia.mininni@studio.unibo.it</cp:lastModifiedBy>
  <dcterms:created xsi:type="dcterms:W3CDTF">2022-09-26T13:32:27Z</dcterms:created>
  <dcterms:modified xsi:type="dcterms:W3CDTF">2023-12-14T15:20:41Z</dcterms:modified>
</cp:coreProperties>
</file>