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claudia_mininni_studio_unibo_it/Documents/Documents/CLAUDIA/DataAnalyst/seconda settimana/Dataset-20231130T115424Z-001/Dataset/"/>
    </mc:Choice>
  </mc:AlternateContent>
  <xr:revisionPtr revIDLastSave="159" documentId="13_ncr:1_{6F2FD79B-1D57-4090-9E7C-0A9E6E277D2D}" xr6:coauthVersionLast="47" xr6:coauthVersionMax="47" xr10:uidLastSave="{839649D2-DC72-4E2A-9EBB-544120995A37}"/>
  <bookViews>
    <workbookView xWindow="-108" yWindow="-108" windowWidth="23256" windowHeight="13176" activeTab="1" xr2:uid="{E6EEE526-5298-45F5-A758-250F9EBDC718}"/>
  </bookViews>
  <sheets>
    <sheet name="Foglio1" sheetId="2" r:id="rId1"/>
    <sheet name="Foglio2" sheetId="3" r:id="rId2"/>
    <sheet name="Dati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</calcChain>
</file>

<file path=xl/sharedStrings.xml><?xml version="1.0" encoding="utf-8"?>
<sst xmlns="http://schemas.openxmlformats.org/spreadsheetml/2006/main" count="155" uniqueCount="36">
  <si>
    <t>Data</t>
  </si>
  <si>
    <t>Venditore</t>
  </si>
  <si>
    <t>elena</t>
  </si>
  <si>
    <t>luca</t>
  </si>
  <si>
    <t>marco</t>
  </si>
  <si>
    <t>fabio</t>
  </si>
  <si>
    <t>sara</t>
  </si>
  <si>
    <t>Merce</t>
  </si>
  <si>
    <t>micronde</t>
  </si>
  <si>
    <t>lavastoviglie</t>
  </si>
  <si>
    <t>lettore dvd</t>
  </si>
  <si>
    <t>televisore 42</t>
  </si>
  <si>
    <t>televisore 32</t>
  </si>
  <si>
    <t>frigorifero</t>
  </si>
  <si>
    <t xml:space="preserve">lavatrice </t>
  </si>
  <si>
    <t>forno</t>
  </si>
  <si>
    <t>asciugatrice</t>
  </si>
  <si>
    <t>lettore blu ray</t>
  </si>
  <si>
    <t>frullatore</t>
  </si>
  <si>
    <t>Quantità</t>
  </si>
  <si>
    <t>Importo</t>
  </si>
  <si>
    <t>Totale</t>
  </si>
  <si>
    <t>Quale venditore ha venduto più elettrodomestici in numero assoluto?</t>
  </si>
  <si>
    <t>Quale venditore ha venduto un numero più diversificato di elettrodomestici?</t>
  </si>
  <si>
    <t>Chi ha venduto di più a marzo del 2016?</t>
  </si>
  <si>
    <t>Quale venditrice ha totalizzato l’incasso maggiore?</t>
  </si>
  <si>
    <t>Quale categoria di prodotto ha una maggiore eterogeneiità di prezzi?</t>
  </si>
  <si>
    <t>Etichette di riga</t>
  </si>
  <si>
    <t>Totale complessivo</t>
  </si>
  <si>
    <t>mar</t>
  </si>
  <si>
    <t>Conteggio di Merce</t>
  </si>
  <si>
    <t>Somma di Totale</t>
  </si>
  <si>
    <t>Etichette di colonna</t>
  </si>
  <si>
    <t>Somma di Quantità</t>
  </si>
  <si>
    <t>Mesi (Data)</t>
  </si>
  <si>
    <t>Conteggio di Importo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</si>
</sst>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NumberFormat="1"/>
    <xf numFmtId="0" fontId="1" fillId="2" borderId="0" xfId="0" applyNumberFormat="1" applyFont="1" applyFill="1"/>
  </cellXfs>
  <cellStyles count="1">
    <cellStyle name="Normale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" refreshedDate="45274.62552465278" createdVersion="8" refreshedVersion="8" minRefreshableVersion="3" recordCount="23" xr:uid="{E529492A-1A40-46DD-8835-7994DA1AE141}">
  <cacheSource type="worksheet">
    <worksheetSource ref="A1:F24" sheet="Dati"/>
  </cacheSource>
  <cacheFields count="8">
    <cacheField name="Data" numFmtId="14">
      <sharedItems containsSemiMixedTypes="0" containsNonDate="0" containsDate="1" containsString="0" minDate="2016-01-10T00:00:00" maxDate="2016-05-10T00:00:00" count="21">
        <d v="2016-01-10T00:00:00"/>
        <d v="2016-01-12T00:00:00"/>
        <d v="2016-01-15T00:00:00"/>
        <d v="2016-01-30T00:00:00"/>
        <d v="2016-02-01T00:00:00"/>
        <d v="2016-02-05T00:00:00"/>
        <d v="2016-02-07T00:00:00"/>
        <d v="2016-02-08T00:00:00"/>
        <d v="2016-02-10T00:00:00"/>
        <d v="2016-03-13T00:00:00"/>
        <d v="2016-03-14T00:00:00"/>
        <d v="2016-03-16T00:00:00"/>
        <d v="2016-03-25T00:00:00"/>
        <d v="2016-03-30T00:00:00"/>
        <d v="2016-04-02T00:00:00"/>
        <d v="2016-04-04T00:00:00"/>
        <d v="2016-04-08T00:00:00"/>
        <d v="2016-04-13T00:00:00"/>
        <d v="2016-04-26T00:00:00"/>
        <d v="2016-05-08T00:00:00"/>
        <d v="2016-05-09T00:00:00"/>
      </sharedItems>
      <fieldGroup par="7"/>
    </cacheField>
    <cacheField name="Venditore" numFmtId="0">
      <sharedItems count="5">
        <s v="elena"/>
        <s v="luca"/>
        <s v="marco"/>
        <s v="fabio"/>
        <s v="sara"/>
      </sharedItems>
    </cacheField>
    <cacheField name="Merce" numFmtId="0">
      <sharedItems count="11">
        <s v="micronde"/>
        <s v="lavastoviglie"/>
        <s v="lettore dvd"/>
        <s v="televisore 42"/>
        <s v="televisore 32"/>
        <s v="frigorifero"/>
        <s v="lavatrice "/>
        <s v="forno"/>
        <s v="asciugatrice"/>
        <s v="lettore blu ray"/>
        <s v="frullatore"/>
      </sharedItems>
    </cacheField>
    <cacheField name="Quantità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Importo" numFmtId="0">
      <sharedItems containsSemiMixedTypes="0" containsString="0" containsNumber="1" containsInteger="1" minValue="39" maxValue="1170"/>
    </cacheField>
    <cacheField name="Totale" numFmtId="0">
      <sharedItems containsSemiMixedTypes="0" containsString="0" containsNumber="1" containsInteger="1" minValue="78" maxValue="3400" count="22">
        <n v="85"/>
        <n v="460"/>
        <n v="110"/>
        <n v="225"/>
        <n v="1460"/>
        <n v="330"/>
        <n v="3000"/>
        <n v="2340"/>
        <n v="450"/>
        <n v="2680"/>
        <n v="625"/>
        <n v="550"/>
        <n v="300"/>
        <n v="1840"/>
        <n v="78"/>
        <n v="160"/>
        <n v="1350"/>
        <n v="1110"/>
        <n v="170"/>
        <n v="1120"/>
        <n v="540"/>
        <n v="3400"/>
      </sharedItems>
    </cacheField>
    <cacheField name="Giorni (Data)" numFmtId="0" databaseField="0">
      <fieldGroup base="0">
        <rangePr groupBy="days" startDate="2016-01-10T00:00:00" endDate="2016-05-10T00:00:00"/>
        <groupItems count="368">
          <s v="&lt;10/01/2016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0/05/2016"/>
        </groupItems>
      </fieldGroup>
    </cacheField>
    <cacheField name="Mesi (Data)" numFmtId="0" databaseField="0">
      <fieldGroup base="0">
        <rangePr groupBy="months" startDate="2016-01-10T00:00:00" endDate="2016-05-10T00:00:00"/>
        <groupItems count="14">
          <s v="&lt;10/01/201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0/05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n v="85"/>
    <x v="0"/>
  </r>
  <r>
    <x v="1"/>
    <x v="1"/>
    <x v="1"/>
    <x v="0"/>
    <n v="460"/>
    <x v="1"/>
  </r>
  <r>
    <x v="1"/>
    <x v="0"/>
    <x v="2"/>
    <x v="1"/>
    <n v="55"/>
    <x v="2"/>
  </r>
  <r>
    <x v="2"/>
    <x v="2"/>
    <x v="3"/>
    <x v="2"/>
    <n v="75"/>
    <x v="3"/>
  </r>
  <r>
    <x v="3"/>
    <x v="3"/>
    <x v="1"/>
    <x v="1"/>
    <n v="730"/>
    <x v="4"/>
  </r>
  <r>
    <x v="4"/>
    <x v="1"/>
    <x v="4"/>
    <x v="0"/>
    <n v="330"/>
    <x v="5"/>
  </r>
  <r>
    <x v="5"/>
    <x v="2"/>
    <x v="5"/>
    <x v="2"/>
    <n v="1000"/>
    <x v="6"/>
  </r>
  <r>
    <x v="6"/>
    <x v="3"/>
    <x v="6"/>
    <x v="1"/>
    <n v="1170"/>
    <x v="7"/>
  </r>
  <r>
    <x v="7"/>
    <x v="0"/>
    <x v="7"/>
    <x v="0"/>
    <n v="450"/>
    <x v="8"/>
  </r>
  <r>
    <x v="8"/>
    <x v="4"/>
    <x v="3"/>
    <x v="3"/>
    <n v="670"/>
    <x v="9"/>
  </r>
  <r>
    <x v="9"/>
    <x v="3"/>
    <x v="5"/>
    <x v="0"/>
    <n v="625"/>
    <x v="10"/>
  </r>
  <r>
    <x v="9"/>
    <x v="4"/>
    <x v="8"/>
    <x v="4"/>
    <n v="110"/>
    <x v="11"/>
  </r>
  <r>
    <x v="10"/>
    <x v="0"/>
    <x v="0"/>
    <x v="1"/>
    <n v="150"/>
    <x v="12"/>
  </r>
  <r>
    <x v="11"/>
    <x v="0"/>
    <x v="6"/>
    <x v="3"/>
    <n v="460"/>
    <x v="13"/>
  </r>
  <r>
    <x v="12"/>
    <x v="1"/>
    <x v="9"/>
    <x v="1"/>
    <n v="39"/>
    <x v="14"/>
  </r>
  <r>
    <x v="13"/>
    <x v="3"/>
    <x v="4"/>
    <x v="0"/>
    <n v="160"/>
    <x v="15"/>
  </r>
  <r>
    <x v="14"/>
    <x v="2"/>
    <x v="7"/>
    <x v="2"/>
    <n v="450"/>
    <x v="16"/>
  </r>
  <r>
    <x v="15"/>
    <x v="1"/>
    <x v="5"/>
    <x v="2"/>
    <n v="370"/>
    <x v="17"/>
  </r>
  <r>
    <x v="16"/>
    <x v="1"/>
    <x v="9"/>
    <x v="1"/>
    <n v="85"/>
    <x v="18"/>
  </r>
  <r>
    <x v="17"/>
    <x v="3"/>
    <x v="6"/>
    <x v="1"/>
    <n v="560"/>
    <x v="19"/>
  </r>
  <r>
    <x v="18"/>
    <x v="4"/>
    <x v="0"/>
    <x v="2"/>
    <n v="180"/>
    <x v="20"/>
  </r>
  <r>
    <x v="19"/>
    <x v="4"/>
    <x v="8"/>
    <x v="3"/>
    <n v="850"/>
    <x v="21"/>
  </r>
  <r>
    <x v="20"/>
    <x v="2"/>
    <x v="10"/>
    <x v="0"/>
    <n v="45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2F2AA-0E18-44BB-AE9A-B1FD9CA6A2B6}" name="Tabella pivot9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G16" firstHeaderRow="1" firstDataRow="2" firstDataCol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axis="axisRow"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eggio di Importo" fld="4" subtotal="count" baseField="2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FA444-4445-4928-A4DA-6ADB7A918049}" name="Tabella pivot20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46:I59" firstHeaderRow="1" firstDataRow="2" firstDataCol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axis="axisRow"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nteggio di Importo" fld="4" subtotal="count" baseField="2" baseItem="8"/>
  </dataFields>
  <formats count="6">
    <format dxfId="5">
      <pivotArea collapsedLevelsAreSubtotals="1" fieldPosition="0">
        <references count="1">
          <reference field="2" count="1">
            <x v="2"/>
          </reference>
        </references>
      </pivotArea>
    </format>
    <format dxfId="4">
      <pivotArea dataOnly="0" labelOnly="1" fieldPosition="0">
        <references count="1">
          <reference field="2" count="1">
            <x v="2"/>
          </reference>
        </references>
      </pivotArea>
    </format>
    <format dxfId="3">
      <pivotArea collapsedLevelsAreSubtotals="1" fieldPosition="0">
        <references count="1">
          <reference field="2" count="1">
            <x v="5"/>
          </reference>
        </references>
      </pivotArea>
    </format>
    <format dxfId="2">
      <pivotArea dataOnly="0" labelOnly="1" fieldPosition="0">
        <references count="1">
          <reference field="2" count="1">
            <x v="5"/>
          </reference>
        </references>
      </pivotArea>
    </format>
    <format dxfId="1">
      <pivotArea collapsedLevelsAreSubtotals="1" fieldPosition="0">
        <references count="1">
          <reference field="2" count="1">
            <x v="8"/>
          </reference>
        </references>
      </pivotArea>
    </format>
    <format dxfId="0">
      <pivotArea dataOnly="0" labelOnly="1" fieldPosition="0">
        <references count="1">
          <reference field="2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F4F40-D4AF-4598-A20E-6C8CC1CCE0B9}" name="Tabella pivot15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34:D40" firstHeaderRow="1" firstDataRow="1" firstDataCol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Total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4562B-B531-4720-83E4-B018D9849370}" name="Tabella pivot12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11:D17" firstHeaderRow="1" firstDataRow="1" firstDataCol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dataField="1"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showAll="0"/>
    <pivotField showAll="0"/>
    <pivotField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eggio di Merce" fld="2" subtotal="count" baseField="0" baseItem="0"/>
  </dataFields>
  <formats count="1">
    <format dxfId="13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8D581-707C-4BB2-8CE5-42F0DF5CE222}" name="Tabella pivot11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2:O9" firstHeaderRow="1" firstDataRow="2" firstDataCol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axis="axisCol"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dataField="1" showAll="0"/>
    <pivotField showAll="0"/>
    <pivotField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ma di Quantità" fld="3" baseField="0" baseItem="0"/>
  </dataFields>
  <formats count="1">
    <format dxfId="14">
      <pivotArea dataOnly="0" labelOnly="1" fieldPosition="0">
        <references count="1">
          <reference field="1" count="1">
            <x v="4"/>
          </reference>
        </references>
      </pivotArea>
    </format>
  </formats>
  <conditionalFormats count="1">
    <conditionalFormat type="all" priority="4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9796B-46E6-4B0D-B9E1-B437D7EFC21C}" name="Tabella pivot17" cacheId="2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C24:D29" firstHeaderRow="1" firstDataRow="1" firstDataCol="1" rowPageCount="1" colPageCount="1"/>
  <pivotFields count="8"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12">
        <item x="8"/>
        <item x="7"/>
        <item x="5"/>
        <item x="10"/>
        <item x="1"/>
        <item x="6"/>
        <item x="9"/>
        <item x="2"/>
        <item x="0"/>
        <item x="4"/>
        <item x="3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23">
        <item x="14"/>
        <item x="0"/>
        <item x="2"/>
        <item x="15"/>
        <item x="18"/>
        <item x="3"/>
        <item x="12"/>
        <item x="5"/>
        <item x="8"/>
        <item x="1"/>
        <item x="20"/>
        <item x="11"/>
        <item x="10"/>
        <item x="17"/>
        <item x="19"/>
        <item x="16"/>
        <item x="4"/>
        <item x="13"/>
        <item x="7"/>
        <item x="9"/>
        <item x="6"/>
        <item x="2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7" item="3" hier="-1"/>
  </pageFields>
  <dataFields count="1">
    <dataField name="Somma di Quantità" fld="3" baseField="0" baseItem="0"/>
  </dataFields>
  <formats count="2">
    <format dxfId="16">
      <pivotArea collapsedLevelsAreSubtotals="1" fieldPosition="0">
        <references count="1">
          <reference field="1" count="1">
            <x v="0"/>
          </reference>
        </references>
      </pivotArea>
    </format>
    <format dxfId="15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4DA27C-AC46-4F2D-B529-E7D93B6B79AA}" name="Tabella57" displayName="Tabella57" ref="F23:K25" totalsRowShown="0">
  <autoFilter ref="F23:K25" xr:uid="{B84DA27C-AC46-4F2D-B529-E7D93B6B79AA}"/>
  <tableColumns count="6">
    <tableColumn id="1" xr3:uid="{CBA6B4A0-1282-40E2-8A3B-6178C20BADFC}" name="Data" dataDxfId="10"/>
    <tableColumn id="2" xr3:uid="{CA84241F-C79C-46A6-8C18-745899ED5BC8}" name="Venditore"/>
    <tableColumn id="3" xr3:uid="{5C88B74E-7E3B-4CCA-BA6F-C169241C79F4}" name="Merce"/>
    <tableColumn id="4" xr3:uid="{7699CFE6-2C3D-4BBC-B589-D5452E95CC82}" name="Quantità"/>
    <tableColumn id="5" xr3:uid="{C26BD030-048A-46C7-A575-E5DACCE3D140}" name="Importo"/>
    <tableColumn id="6" xr3:uid="{56D9E108-F528-41C7-85CF-E07CC5011AE9}" name="Tot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13B6-29F0-4640-B68A-C0CBC4C8EC2F}">
  <dimension ref="A3:G16"/>
  <sheetViews>
    <sheetView workbookViewId="0">
      <selection activeCell="G16" sqref="A3:G16"/>
    </sheetView>
  </sheetViews>
  <sheetFormatPr defaultRowHeight="14.4" x14ac:dyDescent="0.3"/>
  <cols>
    <col min="1" max="1" width="19.109375" bestFit="1" customWidth="1"/>
    <col min="2" max="2" width="20.109375" bestFit="1" customWidth="1"/>
    <col min="3" max="3" width="5.33203125" bestFit="1" customWidth="1"/>
    <col min="4" max="4" width="4.44140625" bestFit="1" customWidth="1"/>
    <col min="5" max="5" width="6.33203125" bestFit="1" customWidth="1"/>
    <col min="6" max="6" width="4.44140625" bestFit="1" customWidth="1"/>
    <col min="7" max="7" width="17.21875" bestFit="1" customWidth="1"/>
    <col min="8" max="8" width="12.77734375" bestFit="1" customWidth="1"/>
    <col min="9" max="9" width="10.21875" bestFit="1" customWidth="1"/>
    <col min="10" max="10" width="9" bestFit="1" customWidth="1"/>
    <col min="11" max="12" width="11.5546875" bestFit="1" customWidth="1"/>
    <col min="13" max="13" width="17.21875" bestFit="1" customWidth="1"/>
    <col min="14" max="14" width="16.88671875" bestFit="1" customWidth="1"/>
    <col min="15" max="15" width="17.44140625" bestFit="1" customWidth="1"/>
    <col min="16" max="16" width="16.88671875" bestFit="1" customWidth="1"/>
    <col min="17" max="17" width="17.44140625" bestFit="1" customWidth="1"/>
    <col min="18" max="18" width="16.88671875" bestFit="1" customWidth="1"/>
    <col min="19" max="19" width="17.44140625" bestFit="1" customWidth="1"/>
    <col min="20" max="20" width="16.88671875" bestFit="1" customWidth="1"/>
    <col min="21" max="21" width="17.44140625" bestFit="1" customWidth="1"/>
    <col min="22" max="22" width="16.88671875" bestFit="1" customWidth="1"/>
    <col min="23" max="23" width="17.44140625" bestFit="1" customWidth="1"/>
    <col min="24" max="24" width="22.44140625" bestFit="1" customWidth="1"/>
    <col min="25" max="25" width="22.88671875" bestFit="1" customWidth="1"/>
  </cols>
  <sheetData>
    <row r="3" spans="1:7" x14ac:dyDescent="0.3">
      <c r="A3" s="2" t="s">
        <v>35</v>
      </c>
      <c r="B3" s="2" t="s">
        <v>32</v>
      </c>
    </row>
    <row r="4" spans="1:7" x14ac:dyDescent="0.3">
      <c r="A4" s="2" t="s">
        <v>27</v>
      </c>
      <c r="B4" t="s">
        <v>2</v>
      </c>
      <c r="C4" t="s">
        <v>5</v>
      </c>
      <c r="D4" t="s">
        <v>3</v>
      </c>
      <c r="E4" t="s">
        <v>4</v>
      </c>
      <c r="F4" t="s">
        <v>6</v>
      </c>
      <c r="G4" t="s">
        <v>28</v>
      </c>
    </row>
    <row r="5" spans="1:7" x14ac:dyDescent="0.3">
      <c r="A5" s="3" t="s">
        <v>16</v>
      </c>
      <c r="B5" s="6"/>
      <c r="C5" s="6"/>
      <c r="D5" s="6"/>
      <c r="E5" s="6"/>
      <c r="F5" s="6">
        <v>2</v>
      </c>
      <c r="G5" s="6">
        <v>2</v>
      </c>
    </row>
    <row r="6" spans="1:7" x14ac:dyDescent="0.3">
      <c r="A6" s="3" t="s">
        <v>15</v>
      </c>
      <c r="B6" s="6">
        <v>1</v>
      </c>
      <c r="C6" s="6"/>
      <c r="D6" s="6"/>
      <c r="E6" s="6">
        <v>1</v>
      </c>
      <c r="F6" s="6"/>
      <c r="G6" s="6">
        <v>2</v>
      </c>
    </row>
    <row r="7" spans="1:7" x14ac:dyDescent="0.3">
      <c r="A7" s="3" t="s">
        <v>13</v>
      </c>
      <c r="B7" s="6"/>
      <c r="C7" s="6">
        <v>1</v>
      </c>
      <c r="D7" s="6">
        <v>1</v>
      </c>
      <c r="E7" s="6">
        <v>1</v>
      </c>
      <c r="F7" s="6"/>
      <c r="G7" s="6">
        <v>3</v>
      </c>
    </row>
    <row r="8" spans="1:7" x14ac:dyDescent="0.3">
      <c r="A8" s="3" t="s">
        <v>18</v>
      </c>
      <c r="B8" s="6"/>
      <c r="C8" s="6"/>
      <c r="D8" s="6"/>
      <c r="E8" s="6">
        <v>1</v>
      </c>
      <c r="F8" s="6"/>
      <c r="G8" s="6">
        <v>1</v>
      </c>
    </row>
    <row r="9" spans="1:7" x14ac:dyDescent="0.3">
      <c r="A9" s="3" t="s">
        <v>9</v>
      </c>
      <c r="B9" s="6"/>
      <c r="C9" s="6">
        <v>1</v>
      </c>
      <c r="D9" s="6">
        <v>1</v>
      </c>
      <c r="E9" s="6"/>
      <c r="F9" s="6"/>
      <c r="G9" s="6">
        <v>2</v>
      </c>
    </row>
    <row r="10" spans="1:7" x14ac:dyDescent="0.3">
      <c r="A10" s="3" t="s">
        <v>14</v>
      </c>
      <c r="B10" s="6">
        <v>1</v>
      </c>
      <c r="C10" s="6">
        <v>2</v>
      </c>
      <c r="D10" s="6"/>
      <c r="E10" s="6"/>
      <c r="F10" s="6"/>
      <c r="G10" s="6">
        <v>3</v>
      </c>
    </row>
    <row r="11" spans="1:7" x14ac:dyDescent="0.3">
      <c r="A11" s="3" t="s">
        <v>17</v>
      </c>
      <c r="B11" s="6"/>
      <c r="C11" s="6"/>
      <c r="D11" s="6">
        <v>2</v>
      </c>
      <c r="E11" s="6"/>
      <c r="F11" s="6"/>
      <c r="G11" s="6">
        <v>2</v>
      </c>
    </row>
    <row r="12" spans="1:7" x14ac:dyDescent="0.3">
      <c r="A12" s="3" t="s">
        <v>10</v>
      </c>
      <c r="B12" s="6">
        <v>1</v>
      </c>
      <c r="C12" s="6"/>
      <c r="D12" s="6"/>
      <c r="E12" s="6"/>
      <c r="F12" s="6"/>
      <c r="G12" s="6">
        <v>1</v>
      </c>
    </row>
    <row r="13" spans="1:7" x14ac:dyDescent="0.3">
      <c r="A13" s="3" t="s">
        <v>8</v>
      </c>
      <c r="B13" s="6">
        <v>2</v>
      </c>
      <c r="C13" s="6"/>
      <c r="D13" s="6"/>
      <c r="E13" s="6"/>
      <c r="F13" s="6">
        <v>1</v>
      </c>
      <c r="G13" s="6">
        <v>3</v>
      </c>
    </row>
    <row r="14" spans="1:7" x14ac:dyDescent="0.3">
      <c r="A14" s="3" t="s">
        <v>12</v>
      </c>
      <c r="B14" s="6"/>
      <c r="C14" s="6">
        <v>1</v>
      </c>
      <c r="D14" s="6">
        <v>1</v>
      </c>
      <c r="E14" s="6"/>
      <c r="F14" s="6"/>
      <c r="G14" s="6">
        <v>2</v>
      </c>
    </row>
    <row r="15" spans="1:7" x14ac:dyDescent="0.3">
      <c r="A15" s="3" t="s">
        <v>11</v>
      </c>
      <c r="B15" s="6"/>
      <c r="C15" s="6"/>
      <c r="D15" s="6"/>
      <c r="E15" s="6">
        <v>1</v>
      </c>
      <c r="F15" s="6">
        <v>1</v>
      </c>
      <c r="G15" s="6">
        <v>2</v>
      </c>
    </row>
    <row r="16" spans="1:7" x14ac:dyDescent="0.3">
      <c r="A16" s="3" t="s">
        <v>28</v>
      </c>
      <c r="B16" s="6">
        <v>5</v>
      </c>
      <c r="C16" s="6">
        <v>5</v>
      </c>
      <c r="D16" s="6">
        <v>5</v>
      </c>
      <c r="E16" s="6">
        <v>4</v>
      </c>
      <c r="F16" s="6">
        <v>4</v>
      </c>
      <c r="G16" s="6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DE04-BDEC-4714-A94D-94528EFA0E92}">
  <dimension ref="A1:O59"/>
  <sheetViews>
    <sheetView tabSelected="1" topLeftCell="A34" workbookViewId="0">
      <selection activeCell="I56" sqref="C56:I56"/>
    </sheetView>
  </sheetViews>
  <sheetFormatPr defaultRowHeight="14.4" x14ac:dyDescent="0.3"/>
  <cols>
    <col min="3" max="3" width="17.21875" bestFit="1" customWidth="1"/>
    <col min="4" max="4" width="20.109375" bestFit="1" customWidth="1"/>
    <col min="5" max="5" width="5.6640625" bestFit="1" customWidth="1"/>
    <col min="6" max="6" width="9.44140625" bestFit="1" customWidth="1"/>
    <col min="7" max="7" width="8.77734375" bestFit="1" customWidth="1"/>
    <col min="8" max="8" width="11.33203125" bestFit="1" customWidth="1"/>
    <col min="9" max="9" width="8.5546875" bestFit="1" customWidth="1"/>
    <col min="10" max="10" width="12.77734375" bestFit="1" customWidth="1"/>
    <col min="11" max="11" width="10.21875" bestFit="1" customWidth="1"/>
    <col min="12" max="12" width="9" bestFit="1" customWidth="1"/>
    <col min="13" max="14" width="11.5546875" bestFit="1" customWidth="1"/>
    <col min="15" max="15" width="17.21875" bestFit="1" customWidth="1"/>
  </cols>
  <sheetData>
    <row r="1" spans="1:15" x14ac:dyDescent="0.3">
      <c r="A1" t="s">
        <v>22</v>
      </c>
    </row>
    <row r="2" spans="1:15" x14ac:dyDescent="0.3">
      <c r="C2" s="2" t="s">
        <v>33</v>
      </c>
      <c r="D2" s="2" t="s">
        <v>32</v>
      </c>
    </row>
    <row r="3" spans="1:15" x14ac:dyDescent="0.3">
      <c r="C3" s="2" t="s">
        <v>27</v>
      </c>
      <c r="D3" t="s">
        <v>16</v>
      </c>
      <c r="E3" t="s">
        <v>15</v>
      </c>
      <c r="F3" t="s">
        <v>13</v>
      </c>
      <c r="G3" t="s">
        <v>18</v>
      </c>
      <c r="H3" t="s">
        <v>9</v>
      </c>
      <c r="I3" t="s">
        <v>14</v>
      </c>
      <c r="J3" t="s">
        <v>17</v>
      </c>
      <c r="K3" t="s">
        <v>10</v>
      </c>
      <c r="L3" t="s">
        <v>8</v>
      </c>
      <c r="M3" t="s">
        <v>12</v>
      </c>
      <c r="N3" t="s">
        <v>11</v>
      </c>
      <c r="O3" t="s">
        <v>28</v>
      </c>
    </row>
    <row r="4" spans="1:15" x14ac:dyDescent="0.3">
      <c r="C4" s="3" t="s">
        <v>2</v>
      </c>
      <c r="E4">
        <v>1</v>
      </c>
      <c r="I4">
        <v>4</v>
      </c>
      <c r="K4">
        <v>2</v>
      </c>
      <c r="L4">
        <v>3</v>
      </c>
      <c r="O4">
        <v>10</v>
      </c>
    </row>
    <row r="5" spans="1:15" x14ac:dyDescent="0.3">
      <c r="C5" s="3" t="s">
        <v>5</v>
      </c>
      <c r="F5">
        <v>1</v>
      </c>
      <c r="H5">
        <v>2</v>
      </c>
      <c r="I5">
        <v>4</v>
      </c>
      <c r="M5">
        <v>1</v>
      </c>
      <c r="O5">
        <v>8</v>
      </c>
    </row>
    <row r="6" spans="1:15" x14ac:dyDescent="0.3">
      <c r="C6" s="3" t="s">
        <v>3</v>
      </c>
      <c r="F6">
        <v>3</v>
      </c>
      <c r="H6">
        <v>1</v>
      </c>
      <c r="J6">
        <v>4</v>
      </c>
      <c r="M6">
        <v>1</v>
      </c>
      <c r="O6">
        <v>9</v>
      </c>
    </row>
    <row r="7" spans="1:15" x14ac:dyDescent="0.3">
      <c r="C7" s="3" t="s">
        <v>4</v>
      </c>
      <c r="E7">
        <v>3</v>
      </c>
      <c r="F7">
        <v>3</v>
      </c>
      <c r="G7">
        <v>1</v>
      </c>
      <c r="N7">
        <v>3</v>
      </c>
      <c r="O7">
        <v>10</v>
      </c>
    </row>
    <row r="8" spans="1:15" x14ac:dyDescent="0.3">
      <c r="C8" s="4" t="s">
        <v>6</v>
      </c>
      <c r="D8">
        <v>9</v>
      </c>
      <c r="L8">
        <v>3</v>
      </c>
      <c r="N8">
        <v>4</v>
      </c>
      <c r="O8">
        <v>16</v>
      </c>
    </row>
    <row r="9" spans="1:15" x14ac:dyDescent="0.3">
      <c r="C9" s="3" t="s">
        <v>28</v>
      </c>
      <c r="D9">
        <v>9</v>
      </c>
      <c r="E9">
        <v>4</v>
      </c>
      <c r="F9">
        <v>7</v>
      </c>
      <c r="G9">
        <v>1</v>
      </c>
      <c r="H9">
        <v>3</v>
      </c>
      <c r="I9">
        <v>8</v>
      </c>
      <c r="J9">
        <v>4</v>
      </c>
      <c r="K9">
        <v>2</v>
      </c>
      <c r="L9">
        <v>6</v>
      </c>
      <c r="M9">
        <v>2</v>
      </c>
      <c r="N9">
        <v>7</v>
      </c>
      <c r="O9">
        <v>53</v>
      </c>
    </row>
    <row r="10" spans="1:15" x14ac:dyDescent="0.3">
      <c r="A10" t="s">
        <v>23</v>
      </c>
    </row>
    <row r="11" spans="1:15" x14ac:dyDescent="0.3">
      <c r="C11" s="2" t="s">
        <v>27</v>
      </c>
      <c r="D11" t="s">
        <v>30</v>
      </c>
    </row>
    <row r="12" spans="1:15" x14ac:dyDescent="0.3">
      <c r="C12" s="3" t="s">
        <v>2</v>
      </c>
      <c r="D12">
        <v>5</v>
      </c>
    </row>
    <row r="13" spans="1:15" x14ac:dyDescent="0.3">
      <c r="C13" s="3" t="s">
        <v>5</v>
      </c>
      <c r="D13">
        <v>5</v>
      </c>
    </row>
    <row r="14" spans="1:15" x14ac:dyDescent="0.3">
      <c r="C14" s="3" t="s">
        <v>3</v>
      </c>
      <c r="D14">
        <v>5</v>
      </c>
    </row>
    <row r="15" spans="1:15" x14ac:dyDescent="0.3">
      <c r="C15" s="3" t="s">
        <v>4</v>
      </c>
      <c r="D15">
        <v>4</v>
      </c>
    </row>
    <row r="16" spans="1:15" x14ac:dyDescent="0.3">
      <c r="C16" t="s">
        <v>6</v>
      </c>
      <c r="D16">
        <v>4</v>
      </c>
    </row>
    <row r="17" spans="1:11" x14ac:dyDescent="0.3">
      <c r="C17" s="3" t="s">
        <v>28</v>
      </c>
      <c r="D17">
        <v>23</v>
      </c>
    </row>
    <row r="20" spans="1:11" x14ac:dyDescent="0.3">
      <c r="A20" t="s">
        <v>24</v>
      </c>
    </row>
    <row r="22" spans="1:11" x14ac:dyDescent="0.3">
      <c r="C22" s="2" t="s">
        <v>34</v>
      </c>
      <c r="D22" t="s">
        <v>29</v>
      </c>
    </row>
    <row r="23" spans="1:11" x14ac:dyDescent="0.3">
      <c r="F23" t="s">
        <v>0</v>
      </c>
      <c r="G23" t="s">
        <v>1</v>
      </c>
      <c r="H23" t="s">
        <v>7</v>
      </c>
      <c r="I23" t="s">
        <v>19</v>
      </c>
      <c r="J23" t="s">
        <v>20</v>
      </c>
      <c r="K23" t="s">
        <v>21</v>
      </c>
    </row>
    <row r="24" spans="1:11" x14ac:dyDescent="0.3">
      <c r="C24" s="2" t="s">
        <v>27</v>
      </c>
      <c r="D24" t="s">
        <v>33</v>
      </c>
      <c r="F24" s="1">
        <v>42445</v>
      </c>
      <c r="G24" t="s">
        <v>2</v>
      </c>
      <c r="H24" t="s">
        <v>14</v>
      </c>
      <c r="I24">
        <v>4</v>
      </c>
      <c r="J24">
        <v>460</v>
      </c>
      <c r="K24">
        <v>1840</v>
      </c>
    </row>
    <row r="25" spans="1:11" x14ac:dyDescent="0.3">
      <c r="C25" s="4" t="s">
        <v>2</v>
      </c>
      <c r="D25" s="5">
        <v>6</v>
      </c>
      <c r="F25" s="1">
        <v>42443</v>
      </c>
      <c r="G25" t="s">
        <v>2</v>
      </c>
      <c r="H25" t="s">
        <v>8</v>
      </c>
      <c r="I25">
        <v>2</v>
      </c>
      <c r="J25">
        <v>150</v>
      </c>
      <c r="K25">
        <v>300</v>
      </c>
    </row>
    <row r="26" spans="1:11" x14ac:dyDescent="0.3">
      <c r="C26" s="3" t="s">
        <v>5</v>
      </c>
      <c r="D26">
        <v>2</v>
      </c>
    </row>
    <row r="27" spans="1:11" x14ac:dyDescent="0.3">
      <c r="C27" s="3" t="s">
        <v>3</v>
      </c>
      <c r="D27">
        <v>2</v>
      </c>
    </row>
    <row r="28" spans="1:11" x14ac:dyDescent="0.3">
      <c r="C28" s="3" t="s">
        <v>6</v>
      </c>
      <c r="D28">
        <v>5</v>
      </c>
    </row>
    <row r="29" spans="1:11" x14ac:dyDescent="0.3">
      <c r="C29" s="3" t="s">
        <v>28</v>
      </c>
      <c r="D29">
        <v>15</v>
      </c>
    </row>
    <row r="32" spans="1:11" x14ac:dyDescent="0.3">
      <c r="A32" t="s">
        <v>25</v>
      </c>
    </row>
    <row r="34" spans="1:9" x14ac:dyDescent="0.3">
      <c r="C34" s="2" t="s">
        <v>27</v>
      </c>
      <c r="D34" t="s">
        <v>31</v>
      </c>
    </row>
    <row r="35" spans="1:9" x14ac:dyDescent="0.3">
      <c r="C35" s="3" t="s">
        <v>2</v>
      </c>
      <c r="D35">
        <v>2785</v>
      </c>
    </row>
    <row r="36" spans="1:9" x14ac:dyDescent="0.3">
      <c r="C36" s="3" t="s">
        <v>5</v>
      </c>
      <c r="D36">
        <v>5705</v>
      </c>
    </row>
    <row r="37" spans="1:9" x14ac:dyDescent="0.3">
      <c r="C37" s="3" t="s">
        <v>3</v>
      </c>
      <c r="D37">
        <v>2148</v>
      </c>
    </row>
    <row r="38" spans="1:9" x14ac:dyDescent="0.3">
      <c r="C38" s="3" t="s">
        <v>4</v>
      </c>
      <c r="D38">
        <v>5025</v>
      </c>
    </row>
    <row r="39" spans="1:9" x14ac:dyDescent="0.3">
      <c r="C39" s="3" t="s">
        <v>6</v>
      </c>
      <c r="D39">
        <v>7170</v>
      </c>
    </row>
    <row r="40" spans="1:9" x14ac:dyDescent="0.3">
      <c r="C40" s="3" t="s">
        <v>28</v>
      </c>
      <c r="D40">
        <v>22833</v>
      </c>
    </row>
    <row r="44" spans="1:9" x14ac:dyDescent="0.3">
      <c r="A44" t="s">
        <v>26</v>
      </c>
    </row>
    <row r="46" spans="1:9" x14ac:dyDescent="0.3">
      <c r="C46" s="2" t="s">
        <v>35</v>
      </c>
      <c r="D46" s="2" t="s">
        <v>32</v>
      </c>
    </row>
    <row r="47" spans="1:9" x14ac:dyDescent="0.3">
      <c r="C47" s="2" t="s">
        <v>27</v>
      </c>
      <c r="D47" t="s">
        <v>2</v>
      </c>
      <c r="E47" t="s">
        <v>5</v>
      </c>
      <c r="F47" t="s">
        <v>3</v>
      </c>
      <c r="G47" t="s">
        <v>4</v>
      </c>
      <c r="H47" t="s">
        <v>6</v>
      </c>
      <c r="I47" t="s">
        <v>28</v>
      </c>
    </row>
    <row r="48" spans="1:9" x14ac:dyDescent="0.3">
      <c r="C48" s="3" t="s">
        <v>16</v>
      </c>
      <c r="D48" s="6"/>
      <c r="E48" s="6"/>
      <c r="F48" s="6"/>
      <c r="G48" s="6"/>
      <c r="H48" s="6">
        <v>2</v>
      </c>
      <c r="I48" s="6">
        <v>2</v>
      </c>
    </row>
    <row r="49" spans="3:9" x14ac:dyDescent="0.3">
      <c r="C49" s="3" t="s">
        <v>15</v>
      </c>
      <c r="D49" s="6">
        <v>1</v>
      </c>
      <c r="E49" s="6"/>
      <c r="F49" s="6"/>
      <c r="G49" s="6">
        <v>1</v>
      </c>
      <c r="H49" s="6"/>
      <c r="I49" s="6">
        <v>2</v>
      </c>
    </row>
    <row r="50" spans="3:9" x14ac:dyDescent="0.3">
      <c r="C50" s="4" t="s">
        <v>13</v>
      </c>
      <c r="D50" s="7"/>
      <c r="E50" s="7">
        <v>1</v>
      </c>
      <c r="F50" s="7">
        <v>1</v>
      </c>
      <c r="G50" s="7">
        <v>1</v>
      </c>
      <c r="H50" s="7"/>
      <c r="I50" s="7">
        <v>3</v>
      </c>
    </row>
    <row r="51" spans="3:9" x14ac:dyDescent="0.3">
      <c r="C51" s="3" t="s">
        <v>18</v>
      </c>
      <c r="D51" s="6"/>
      <c r="E51" s="6"/>
      <c r="F51" s="6"/>
      <c r="G51" s="6">
        <v>1</v>
      </c>
      <c r="H51" s="6"/>
      <c r="I51" s="6">
        <v>1</v>
      </c>
    </row>
    <row r="52" spans="3:9" x14ac:dyDescent="0.3">
      <c r="C52" s="3" t="s">
        <v>9</v>
      </c>
      <c r="D52" s="6"/>
      <c r="E52" s="6">
        <v>1</v>
      </c>
      <c r="F52" s="6">
        <v>1</v>
      </c>
      <c r="G52" s="6"/>
      <c r="H52" s="6"/>
      <c r="I52" s="6">
        <v>2</v>
      </c>
    </row>
    <row r="53" spans="3:9" x14ac:dyDescent="0.3">
      <c r="C53" s="4" t="s">
        <v>14</v>
      </c>
      <c r="D53" s="7">
        <v>1</v>
      </c>
      <c r="E53" s="7">
        <v>2</v>
      </c>
      <c r="F53" s="7"/>
      <c r="G53" s="7"/>
      <c r="H53" s="7"/>
      <c r="I53" s="7">
        <v>3</v>
      </c>
    </row>
    <row r="54" spans="3:9" x14ac:dyDescent="0.3">
      <c r="C54" s="3" t="s">
        <v>17</v>
      </c>
      <c r="D54" s="6"/>
      <c r="E54" s="6"/>
      <c r="F54" s="6">
        <v>2</v>
      </c>
      <c r="G54" s="6"/>
      <c r="H54" s="6"/>
      <c r="I54" s="6">
        <v>2</v>
      </c>
    </row>
    <row r="55" spans="3:9" x14ac:dyDescent="0.3">
      <c r="C55" s="3" t="s">
        <v>10</v>
      </c>
      <c r="D55" s="6">
        <v>1</v>
      </c>
      <c r="E55" s="6"/>
      <c r="F55" s="6"/>
      <c r="G55" s="6"/>
      <c r="H55" s="6"/>
      <c r="I55" s="6">
        <v>1</v>
      </c>
    </row>
    <row r="56" spans="3:9" x14ac:dyDescent="0.3">
      <c r="C56" s="4" t="s">
        <v>8</v>
      </c>
      <c r="D56" s="7">
        <v>2</v>
      </c>
      <c r="E56" s="7"/>
      <c r="F56" s="7"/>
      <c r="G56" s="7"/>
      <c r="H56" s="7">
        <v>1</v>
      </c>
      <c r="I56" s="7">
        <v>3</v>
      </c>
    </row>
    <row r="57" spans="3:9" x14ac:dyDescent="0.3">
      <c r="C57" s="3" t="s">
        <v>12</v>
      </c>
      <c r="D57" s="6"/>
      <c r="E57" s="6">
        <v>1</v>
      </c>
      <c r="F57" s="6">
        <v>1</v>
      </c>
      <c r="G57" s="6"/>
      <c r="H57" s="6"/>
      <c r="I57" s="6">
        <v>2</v>
      </c>
    </row>
    <row r="58" spans="3:9" x14ac:dyDescent="0.3">
      <c r="C58" s="3" t="s">
        <v>11</v>
      </c>
      <c r="D58" s="6"/>
      <c r="E58" s="6"/>
      <c r="F58" s="6"/>
      <c r="G58" s="6">
        <v>1</v>
      </c>
      <c r="H58" s="6">
        <v>1</v>
      </c>
      <c r="I58" s="6">
        <v>2</v>
      </c>
    </row>
    <row r="59" spans="3:9" x14ac:dyDescent="0.3">
      <c r="C59" s="3" t="s">
        <v>28</v>
      </c>
      <c r="D59" s="6">
        <v>5</v>
      </c>
      <c r="E59" s="6">
        <v>5</v>
      </c>
      <c r="F59" s="6">
        <v>5</v>
      </c>
      <c r="G59" s="6">
        <v>4</v>
      </c>
      <c r="H59" s="6">
        <v>4</v>
      </c>
      <c r="I59" s="6">
        <v>23</v>
      </c>
    </row>
  </sheetData>
  <conditionalFormatting pivot="1" sqref="O4:O8">
    <cfRule type="top10" dxfId="17" priority="4" rank="1"/>
  </conditionalFormatting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2E0C-DB35-41D4-904C-6EF54BA37F5A}">
  <dimension ref="A1:F24"/>
  <sheetViews>
    <sheetView workbookViewId="0">
      <selection activeCell="C10" sqref="C10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19</v>
      </c>
      <c r="E1" t="s">
        <v>20</v>
      </c>
      <c r="F1" t="s">
        <v>21</v>
      </c>
    </row>
    <row r="2" spans="1:6" x14ac:dyDescent="0.3">
      <c r="A2" s="1">
        <v>42379</v>
      </c>
      <c r="B2" t="s">
        <v>2</v>
      </c>
      <c r="C2" t="s">
        <v>8</v>
      </c>
      <c r="D2">
        <v>1</v>
      </c>
      <c r="E2">
        <v>85</v>
      </c>
      <c r="F2">
        <f>D2*E2</f>
        <v>85</v>
      </c>
    </row>
    <row r="3" spans="1:6" x14ac:dyDescent="0.3">
      <c r="A3" s="1">
        <v>42381</v>
      </c>
      <c r="B3" t="s">
        <v>3</v>
      </c>
      <c r="C3" t="s">
        <v>9</v>
      </c>
      <c r="D3">
        <v>1</v>
      </c>
      <c r="E3">
        <v>460</v>
      </c>
      <c r="F3">
        <f t="shared" ref="F3:F24" si="0">D3*E3</f>
        <v>460</v>
      </c>
    </row>
    <row r="4" spans="1:6" x14ac:dyDescent="0.3">
      <c r="A4" s="1">
        <v>42381</v>
      </c>
      <c r="B4" t="s">
        <v>2</v>
      </c>
      <c r="C4" t="s">
        <v>10</v>
      </c>
      <c r="D4">
        <v>2</v>
      </c>
      <c r="E4">
        <v>55</v>
      </c>
      <c r="F4">
        <f t="shared" si="0"/>
        <v>110</v>
      </c>
    </row>
    <row r="5" spans="1:6" x14ac:dyDescent="0.3">
      <c r="A5" s="1">
        <v>42384</v>
      </c>
      <c r="B5" t="s">
        <v>4</v>
      </c>
      <c r="C5" t="s">
        <v>11</v>
      </c>
      <c r="D5">
        <v>3</v>
      </c>
      <c r="E5">
        <v>75</v>
      </c>
      <c r="F5">
        <f t="shared" si="0"/>
        <v>225</v>
      </c>
    </row>
    <row r="6" spans="1:6" x14ac:dyDescent="0.3">
      <c r="A6" s="1">
        <v>42399</v>
      </c>
      <c r="B6" t="s">
        <v>5</v>
      </c>
      <c r="C6" t="s">
        <v>9</v>
      </c>
      <c r="D6">
        <v>2</v>
      </c>
      <c r="E6">
        <v>730</v>
      </c>
      <c r="F6">
        <f t="shared" si="0"/>
        <v>1460</v>
      </c>
    </row>
    <row r="7" spans="1:6" x14ac:dyDescent="0.3">
      <c r="A7" s="1">
        <v>42401</v>
      </c>
      <c r="B7" t="s">
        <v>3</v>
      </c>
      <c r="C7" t="s">
        <v>12</v>
      </c>
      <c r="D7">
        <v>1</v>
      </c>
      <c r="E7">
        <v>330</v>
      </c>
      <c r="F7">
        <f t="shared" si="0"/>
        <v>330</v>
      </c>
    </row>
    <row r="8" spans="1:6" x14ac:dyDescent="0.3">
      <c r="A8" s="1">
        <v>42405</v>
      </c>
      <c r="B8" t="s">
        <v>4</v>
      </c>
      <c r="C8" t="s">
        <v>13</v>
      </c>
      <c r="D8">
        <v>3</v>
      </c>
      <c r="E8">
        <v>1000</v>
      </c>
      <c r="F8">
        <f t="shared" si="0"/>
        <v>3000</v>
      </c>
    </row>
    <row r="9" spans="1:6" x14ac:dyDescent="0.3">
      <c r="A9" s="1">
        <v>42407</v>
      </c>
      <c r="B9" t="s">
        <v>5</v>
      </c>
      <c r="C9" t="s">
        <v>14</v>
      </c>
      <c r="D9">
        <v>2</v>
      </c>
      <c r="E9">
        <v>1170</v>
      </c>
      <c r="F9">
        <f t="shared" si="0"/>
        <v>2340</v>
      </c>
    </row>
    <row r="10" spans="1:6" x14ac:dyDescent="0.3">
      <c r="A10" s="1">
        <v>42408</v>
      </c>
      <c r="B10" t="s">
        <v>2</v>
      </c>
      <c r="C10" t="s">
        <v>15</v>
      </c>
      <c r="D10">
        <v>1</v>
      </c>
      <c r="E10">
        <v>450</v>
      </c>
      <c r="F10">
        <f t="shared" si="0"/>
        <v>450</v>
      </c>
    </row>
    <row r="11" spans="1:6" x14ac:dyDescent="0.3">
      <c r="A11" s="1">
        <v>42410</v>
      </c>
      <c r="B11" t="s">
        <v>6</v>
      </c>
      <c r="C11" t="s">
        <v>11</v>
      </c>
      <c r="D11">
        <v>4</v>
      </c>
      <c r="E11">
        <v>670</v>
      </c>
      <c r="F11">
        <f t="shared" si="0"/>
        <v>2680</v>
      </c>
    </row>
    <row r="12" spans="1:6" x14ac:dyDescent="0.3">
      <c r="A12" s="1">
        <v>42442</v>
      </c>
      <c r="B12" t="s">
        <v>5</v>
      </c>
      <c r="C12" t="s">
        <v>13</v>
      </c>
      <c r="D12">
        <v>1</v>
      </c>
      <c r="E12">
        <v>625</v>
      </c>
      <c r="F12">
        <f t="shared" si="0"/>
        <v>625</v>
      </c>
    </row>
    <row r="13" spans="1:6" x14ac:dyDescent="0.3">
      <c r="A13" s="1">
        <v>42442</v>
      </c>
      <c r="B13" t="s">
        <v>6</v>
      </c>
      <c r="C13" t="s">
        <v>16</v>
      </c>
      <c r="D13">
        <v>5</v>
      </c>
      <c r="E13">
        <v>110</v>
      </c>
      <c r="F13">
        <f t="shared" si="0"/>
        <v>550</v>
      </c>
    </row>
    <row r="14" spans="1:6" x14ac:dyDescent="0.3">
      <c r="A14" s="1">
        <v>42443</v>
      </c>
      <c r="B14" t="s">
        <v>2</v>
      </c>
      <c r="C14" t="s">
        <v>8</v>
      </c>
      <c r="D14">
        <v>2</v>
      </c>
      <c r="E14">
        <v>150</v>
      </c>
      <c r="F14">
        <f t="shared" si="0"/>
        <v>300</v>
      </c>
    </row>
    <row r="15" spans="1:6" x14ac:dyDescent="0.3">
      <c r="A15" s="1">
        <v>42445</v>
      </c>
      <c r="B15" t="s">
        <v>2</v>
      </c>
      <c r="C15" t="s">
        <v>14</v>
      </c>
      <c r="D15">
        <v>4</v>
      </c>
      <c r="E15">
        <v>460</v>
      </c>
      <c r="F15">
        <f t="shared" si="0"/>
        <v>1840</v>
      </c>
    </row>
    <row r="16" spans="1:6" x14ac:dyDescent="0.3">
      <c r="A16" s="1">
        <v>42454</v>
      </c>
      <c r="B16" t="s">
        <v>3</v>
      </c>
      <c r="C16" t="s">
        <v>17</v>
      </c>
      <c r="D16">
        <v>2</v>
      </c>
      <c r="E16">
        <v>39</v>
      </c>
      <c r="F16">
        <f t="shared" si="0"/>
        <v>78</v>
      </c>
    </row>
    <row r="17" spans="1:6" x14ac:dyDescent="0.3">
      <c r="A17" s="1">
        <v>42459</v>
      </c>
      <c r="B17" t="s">
        <v>5</v>
      </c>
      <c r="C17" t="s">
        <v>12</v>
      </c>
      <c r="D17">
        <v>1</v>
      </c>
      <c r="E17">
        <v>160</v>
      </c>
      <c r="F17">
        <f t="shared" si="0"/>
        <v>160</v>
      </c>
    </row>
    <row r="18" spans="1:6" x14ac:dyDescent="0.3">
      <c r="A18" s="1">
        <v>42462</v>
      </c>
      <c r="B18" t="s">
        <v>4</v>
      </c>
      <c r="C18" t="s">
        <v>15</v>
      </c>
      <c r="D18">
        <v>3</v>
      </c>
      <c r="E18">
        <v>450</v>
      </c>
      <c r="F18">
        <f t="shared" si="0"/>
        <v>1350</v>
      </c>
    </row>
    <row r="19" spans="1:6" x14ac:dyDescent="0.3">
      <c r="A19" s="1">
        <v>42464</v>
      </c>
      <c r="B19" t="s">
        <v>3</v>
      </c>
      <c r="C19" t="s">
        <v>13</v>
      </c>
      <c r="D19">
        <v>3</v>
      </c>
      <c r="E19">
        <v>370</v>
      </c>
      <c r="F19">
        <f t="shared" si="0"/>
        <v>1110</v>
      </c>
    </row>
    <row r="20" spans="1:6" x14ac:dyDescent="0.3">
      <c r="A20" s="1">
        <v>42468</v>
      </c>
      <c r="B20" t="s">
        <v>3</v>
      </c>
      <c r="C20" t="s">
        <v>17</v>
      </c>
      <c r="D20">
        <v>2</v>
      </c>
      <c r="E20">
        <v>85</v>
      </c>
      <c r="F20">
        <f t="shared" si="0"/>
        <v>170</v>
      </c>
    </row>
    <row r="21" spans="1:6" x14ac:dyDescent="0.3">
      <c r="A21" s="1">
        <v>42473</v>
      </c>
      <c r="B21" t="s">
        <v>5</v>
      </c>
      <c r="C21" t="s">
        <v>14</v>
      </c>
      <c r="D21">
        <v>2</v>
      </c>
      <c r="E21">
        <v>560</v>
      </c>
      <c r="F21">
        <f t="shared" si="0"/>
        <v>1120</v>
      </c>
    </row>
    <row r="22" spans="1:6" x14ac:dyDescent="0.3">
      <c r="A22" s="1">
        <v>42486</v>
      </c>
      <c r="B22" t="s">
        <v>6</v>
      </c>
      <c r="C22" t="s">
        <v>8</v>
      </c>
      <c r="D22">
        <v>3</v>
      </c>
      <c r="E22">
        <v>180</v>
      </c>
      <c r="F22">
        <f t="shared" si="0"/>
        <v>540</v>
      </c>
    </row>
    <row r="23" spans="1:6" x14ac:dyDescent="0.3">
      <c r="A23" s="1">
        <v>42498</v>
      </c>
      <c r="B23" t="s">
        <v>6</v>
      </c>
      <c r="C23" t="s">
        <v>16</v>
      </c>
      <c r="D23">
        <v>4</v>
      </c>
      <c r="E23">
        <v>850</v>
      </c>
      <c r="F23">
        <f t="shared" si="0"/>
        <v>3400</v>
      </c>
    </row>
    <row r="24" spans="1:6" x14ac:dyDescent="0.3">
      <c r="A24" s="1">
        <v>42499</v>
      </c>
      <c r="B24" t="s">
        <v>4</v>
      </c>
      <c r="C24" t="s">
        <v>18</v>
      </c>
      <c r="D24">
        <v>1</v>
      </c>
      <c r="E24">
        <v>450</v>
      </c>
      <c r="F24">
        <f t="shared" si="0"/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giacomoscettri</dc:creator>
  <cp:lastModifiedBy>Claudia Mininni - claudia.mininni@studio.unibo.it</cp:lastModifiedBy>
  <dcterms:created xsi:type="dcterms:W3CDTF">2022-09-26T16:14:32Z</dcterms:created>
  <dcterms:modified xsi:type="dcterms:W3CDTF">2023-12-14T15:49:06Z</dcterms:modified>
</cp:coreProperties>
</file>